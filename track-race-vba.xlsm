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gitlab-workspace\athletic-suites-vba\track-race-vba\"/>
    </mc:Choice>
  </mc:AlternateContent>
  <xr:revisionPtr revIDLastSave="0" documentId="13_ncr:1_{025DAA07-E41E-4ABC-9BC9-2A90329842F1}" xr6:coauthVersionLast="47" xr6:coauthVersionMax="47" xr10:uidLastSave="{00000000-0000-0000-0000-000000000000}"/>
  <bookViews>
    <workbookView xWindow="-28920" yWindow="-120" windowWidth="29040" windowHeight="15840" firstSheet="1" activeTab="4" xr2:uid="{4F5AD0E3-0D95-4C26-A9E1-B8DB254E3F20}"/>
  </bookViews>
  <sheets>
    <sheet name="コード表" sheetId="2" state="hidden" r:id="rId1"/>
    <sheet name="メッセージ表" sheetId="3" r:id="rId2"/>
    <sheet name="種目" sheetId="1" r:id="rId3"/>
    <sheet name="大会記録" sheetId="6" r:id="rId4"/>
    <sheet name="エントリー" sheetId="4" r:id="rId5"/>
    <sheet name="入力表" sheetId="5" r:id="rId6"/>
    <sheet name="抽選" sheetId="10" state="veryHidden" r:id="rId7"/>
    <sheet name="ResultList" sheetId="9" state="hidden" r:id="rId8"/>
    <sheet name="ResultSubList" sheetId="11" state="hidden" r:id="rId9"/>
  </sheets>
  <functionGroups builtInGroupCount="19"/>
  <definedNames>
    <definedName name="Code_Adv_Next">コード表!$AP$4:$AQ$5</definedName>
    <definedName name="Code_Csv_Header">コード表!$AS$4:$AS$67</definedName>
    <definedName name="Code_Event">コード表!$U$4:$W$35</definedName>
    <definedName name="Code_Group_Strategy">コード表!$AF$4:$AH$6</definedName>
    <definedName name="Code_Lane_Strategy">コード表!$AJ$4:$AL$7</definedName>
    <definedName name="Code_Lane_Type">コード表!$AN$4:$AN$7</definedName>
    <definedName name="Code_Point_1">コード表!$Q$4:$S$5</definedName>
    <definedName name="Code_Point_2">コード表!$Y$4:$AD$32</definedName>
    <definedName name="Code_Reaction">コード表!$I$4:$K$5</definedName>
    <definedName name="Code_Result_Unit">コード表!$M$4:$O$6</definedName>
    <definedName name="Code_Sex">コード表!$A$4:$C$6</definedName>
    <definedName name="Code_Wind">コード表!$E$4:$G$5</definedName>
    <definedName name="Round_List">OFFSET(種目!$K$3:$T$3,1,0,種目!$B$7)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5" i="3" l="1"/>
  <c r="A25" i="3" s="1"/>
  <c r="N12" i="6"/>
  <c r="N11" i="6"/>
  <c r="N10" i="6"/>
  <c r="N9" i="6"/>
  <c r="N8" i="6"/>
  <c r="N7" i="6"/>
  <c r="T4" i="1" l="1"/>
  <c r="V4" i="1" l="1"/>
  <c r="U4" i="1"/>
  <c r="B9" i="10"/>
  <c r="N6" i="6" l="1"/>
  <c r="N5" i="6"/>
  <c r="N4" i="6"/>
  <c r="N3" i="6" l="1"/>
  <c r="C25" i="1" l="1"/>
  <c r="C26" i="1"/>
  <c r="C27" i="1"/>
  <c r="C28" i="1"/>
  <c r="AL4" i="2"/>
  <c r="AL5" i="2"/>
  <c r="AL6" i="2"/>
  <c r="AL7" i="2"/>
  <c r="AH4" i="2"/>
  <c r="AH5" i="2"/>
  <c r="AH6" i="2"/>
  <c r="C3" i="3"/>
  <c r="C14" i="1"/>
  <c r="C5" i="1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W4" i="2"/>
  <c r="W5" i="2"/>
  <c r="W6" i="2"/>
  <c r="W7" i="2"/>
  <c r="W8" i="2"/>
  <c r="W9" i="2"/>
  <c r="W10" i="2"/>
  <c r="W11" i="2"/>
  <c r="W12" i="2"/>
  <c r="C4" i="1" s="1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S5" i="2"/>
  <c r="C18" i="1" s="1"/>
  <c r="S4" i="2"/>
  <c r="O6" i="2"/>
  <c r="C15" i="1" s="1"/>
  <c r="O5" i="2"/>
  <c r="O4" i="2"/>
  <c r="C10" i="1" s="1"/>
  <c r="K5" i="2"/>
  <c r="K4" i="2"/>
  <c r="C9" i="1" s="1"/>
  <c r="G4" i="2"/>
  <c r="G5" i="2"/>
  <c r="C8" i="1" s="1"/>
  <c r="C4" i="2"/>
  <c r="C3" i="1" s="1"/>
  <c r="C5" i="2"/>
  <c r="C6" i="2"/>
  <c r="B21" i="1" l="1"/>
  <c r="B20" i="1"/>
  <c r="B19" i="1"/>
  <c r="A3" i="3"/>
  <c r="C4" i="3"/>
  <c r="A4" i="3" l="1"/>
  <c r="C5" i="3"/>
  <c r="A5" i="3" l="1"/>
  <c r="C6" i="3"/>
  <c r="A6" i="3" l="1"/>
  <c r="C7" i="3"/>
  <c r="A7" i="3" s="1"/>
  <c r="C8" i="3" l="1"/>
  <c r="A8" i="3" l="1"/>
  <c r="C9" i="3"/>
  <c r="A9" i="3" l="1"/>
  <c r="C10" i="3"/>
  <c r="A10" i="3" l="1"/>
  <c r="C11" i="3"/>
  <c r="A11" i="3" l="1"/>
  <c r="C12" i="3"/>
  <c r="A12" i="3" l="1"/>
  <c r="C13" i="3"/>
  <c r="A13" i="3" l="1"/>
  <c r="C14" i="3"/>
  <c r="A14" i="3" l="1"/>
  <c r="C15" i="3"/>
  <c r="A15" i="3" l="1"/>
  <c r="C16" i="3"/>
  <c r="A16" i="3" l="1"/>
  <c r="C17" i="3"/>
  <c r="A17" i="3" l="1"/>
  <c r="C18" i="3" l="1"/>
  <c r="A18" i="3" l="1"/>
  <c r="C19" i="3"/>
  <c r="A19" i="3" l="1"/>
  <c r="C20" i="3"/>
  <c r="A20" i="3" l="1"/>
  <c r="C21" i="3"/>
  <c r="A21" i="3" l="1"/>
  <c r="C22" i="3"/>
  <c r="A22" i="3" l="1"/>
  <c r="C23" i="3"/>
  <c r="A23" i="3" l="1"/>
  <c r="C24" i="3"/>
  <c r="A24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平岡諒也</author>
  </authors>
  <commentList>
    <comment ref="A24" authorId="0" shapeId="0" xr:uid="{39DBF3F3-960F-4CB4-B6C7-442AEB318E07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レーン数:
</t>
        </r>
        <r>
          <rPr>
            <sz val="9"/>
            <color indexed="81"/>
            <rFont val="MS P ゴシック"/>
            <family val="3"/>
            <charset val="128"/>
          </rPr>
          <t>レーン数を入力すると、自動で設定されます。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平岡諒也</author>
  </authors>
  <commentList>
    <comment ref="T5" authorId="0" shapeId="0" xr:uid="{81352737-3B90-438F-90B8-37C95BB69660}">
      <text>
        <r>
          <rPr>
            <b/>
            <sz val="9"/>
            <color indexed="81"/>
            <rFont val="MS P ゴシック"/>
            <family val="3"/>
            <charset val="128"/>
          </rPr>
          <t>ｵｰﾌﾟﾝ参加:</t>
        </r>
        <r>
          <rPr>
            <sz val="9"/>
            <color indexed="81"/>
            <rFont val="MS P ゴシック"/>
            <family val="3"/>
            <charset val="128"/>
          </rPr>
          <t xml:space="preserve">
このセルが空白ではない場合、
オープン参加者として扱います。</t>
        </r>
      </text>
    </comment>
    <comment ref="W5" authorId="0" shapeId="0" xr:uid="{FB68A9D5-BCEC-47F2-A2B7-AD955453A710}">
      <text>
        <r>
          <rPr>
            <b/>
            <sz val="9"/>
            <color indexed="81"/>
            <rFont val="MS P ゴシック"/>
            <family val="3"/>
            <charset val="128"/>
          </rPr>
          <t>累積について:</t>
        </r>
        <r>
          <rPr>
            <sz val="9"/>
            <color indexed="81"/>
            <rFont val="MS P ゴシック"/>
            <family val="3"/>
            <charset val="128"/>
          </rPr>
          <t xml:space="preserve">
L: レーン侵害(TR174-3, 4)
YC: 警告(CR18.5)</t>
        </r>
      </text>
    </comment>
    <comment ref="X5" authorId="0" shapeId="0" xr:uid="{9A79794A-5708-4617-9C9E-8523F828436B}">
      <text>
        <r>
          <rPr>
            <b/>
            <sz val="9"/>
            <color indexed="81"/>
            <rFont val="MS P ゴシック"/>
            <family val="3"/>
            <charset val="128"/>
          </rPr>
          <t>欠場について:</t>
        </r>
        <r>
          <rPr>
            <sz val="9"/>
            <color indexed="81"/>
            <rFont val="MS P ゴシック"/>
            <family val="3"/>
            <charset val="128"/>
          </rPr>
          <t xml:space="preserve">
このセルが空白でない場合は欠場したものとみなされます。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平岡諒也</author>
  </authors>
  <commentList>
    <comment ref="G10" authorId="0" shapeId="0" xr:uid="{107914A5-32B2-4075-88C0-9DAD3AC31AAB}">
      <text>
        <r>
          <rPr>
            <b/>
            <sz val="9"/>
            <color indexed="81"/>
            <rFont val="MS P ゴシック"/>
            <family val="3"/>
            <charset val="128"/>
          </rPr>
          <t>欠場:</t>
        </r>
        <r>
          <rPr>
            <sz val="9"/>
            <color indexed="81"/>
            <rFont val="MS P ゴシック"/>
            <family val="3"/>
            <charset val="128"/>
          </rPr>
          <t xml:space="preserve">
セルが空白でなかった場合は
欠場したものとみなされます.</t>
        </r>
      </text>
    </comment>
    <comment ref="H10" authorId="0" shapeId="0" xr:uid="{23340858-268D-4678-9933-27D19CD6ABBF}">
      <text>
        <r>
          <rPr>
            <b/>
            <sz val="9"/>
            <color indexed="81"/>
            <rFont val="MS P ゴシック"/>
            <family val="3"/>
            <charset val="128"/>
          </rPr>
          <t>途中棄権:</t>
        </r>
        <r>
          <rPr>
            <sz val="9"/>
            <color indexed="81"/>
            <rFont val="MS P ゴシック"/>
            <family val="3"/>
            <charset val="128"/>
          </rPr>
          <t xml:space="preserve">
セルに空白でない場合は
途中棄権したものとみなされます。</t>
        </r>
      </text>
    </comment>
    <comment ref="I10" authorId="0" shapeId="0" xr:uid="{722F11F2-E755-41B8-8AB5-145EA8A58B42}">
      <text>
        <r>
          <rPr>
            <b/>
            <sz val="9"/>
            <color indexed="81"/>
            <rFont val="MS P ゴシック"/>
            <family val="3"/>
            <charset val="128"/>
          </rPr>
          <t>失格:</t>
        </r>
        <r>
          <rPr>
            <sz val="9"/>
            <color indexed="81"/>
            <rFont val="MS P ゴシック"/>
            <family val="3"/>
            <charset val="128"/>
          </rPr>
          <t xml:space="preserve">
失格理由が入力されている場合は、当該の選手は失格とみなされます。</t>
        </r>
      </text>
    </comment>
    <comment ref="J10" authorId="0" shapeId="0" xr:uid="{F0C127AB-1492-4B03-BE3C-AF7EDAE14D80}">
      <text>
        <r>
          <rPr>
            <b/>
            <sz val="9"/>
            <color indexed="81"/>
            <rFont val="MS P ゴシック"/>
            <family val="3"/>
            <charset val="128"/>
          </rPr>
          <t>次ラウンドへの救済:</t>
        </r>
        <r>
          <rPr>
            <sz val="9"/>
            <color indexed="81"/>
            <rFont val="MS P ゴシック"/>
            <family val="3"/>
            <charset val="128"/>
          </rPr>
          <t xml:space="preserve">
qJ: 上訴による救済(CR12, TR8.4.3)
qR: 審判長裁定による救済(CR18.7, TR17.2)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平岡諒也</author>
  </authors>
  <commentList>
    <comment ref="B10" authorId="0" shapeId="0" xr:uid="{82A13FE2-7D45-42DF-AAAA-0816E64E35A8}">
      <text>
        <r>
          <rPr>
            <b/>
            <sz val="9"/>
            <color indexed="81"/>
            <rFont val="MS P ゴシック"/>
            <family val="3"/>
            <charset val="128"/>
          </rPr>
          <t>進出について:</t>
        </r>
        <r>
          <rPr>
            <sz val="9"/>
            <color indexed="81"/>
            <rFont val="MS P ゴシック"/>
            <family val="3"/>
            <charset val="128"/>
          </rPr>
          <t xml:space="preserve">
セルが空白ではなかった場合、
次ラウンドへ進出するものとみなします.</t>
        </r>
      </text>
    </comment>
  </commentList>
</comments>
</file>

<file path=xl/sharedStrings.xml><?xml version="1.0" encoding="utf-8"?>
<sst xmlns="http://schemas.openxmlformats.org/spreadsheetml/2006/main" count="738" uniqueCount="528">
  <si>
    <t>クラス</t>
    <phoneticPr fontId="1"/>
  </si>
  <si>
    <t>性別</t>
    <rPh sb="0" eb="2">
      <t>セイベツ</t>
    </rPh>
    <phoneticPr fontId="1"/>
  </si>
  <si>
    <t>種目名</t>
    <rPh sb="0" eb="2">
      <t>シュモク</t>
    </rPh>
    <rPh sb="2" eb="3">
      <t>メイ</t>
    </rPh>
    <phoneticPr fontId="1"/>
  </si>
  <si>
    <t>ラウンド数</t>
    <rPh sb="4" eb="5">
      <t>スウ</t>
    </rPh>
    <phoneticPr fontId="1"/>
  </si>
  <si>
    <t>風力</t>
    <rPh sb="0" eb="2">
      <t>フウリョク</t>
    </rPh>
    <phoneticPr fontId="1"/>
  </si>
  <si>
    <t>リアクション</t>
    <phoneticPr fontId="1"/>
  </si>
  <si>
    <t>区切り文字</t>
    <rPh sb="0" eb="2">
      <t>クギ</t>
    </rPh>
    <rPh sb="3" eb="5">
      <t>モジ</t>
    </rPh>
    <phoneticPr fontId="1"/>
  </si>
  <si>
    <t>分</t>
    <rPh sb="0" eb="1">
      <t>フン</t>
    </rPh>
    <phoneticPr fontId="1"/>
  </si>
  <si>
    <t>秒</t>
    <rPh sb="0" eb="1">
      <t>ビョウ</t>
    </rPh>
    <phoneticPr fontId="1"/>
  </si>
  <si>
    <t>ラップタイム</t>
    <phoneticPr fontId="1"/>
  </si>
  <si>
    <t>計測単位</t>
    <rPh sb="0" eb="2">
      <t>ケイソク</t>
    </rPh>
    <rPh sb="2" eb="4">
      <t>タンイ</t>
    </rPh>
    <phoneticPr fontId="1"/>
  </si>
  <si>
    <t>得点表示</t>
    <rPh sb="0" eb="2">
      <t>トクテン</t>
    </rPh>
    <rPh sb="2" eb="4">
      <t>ヒョウジ</t>
    </rPh>
    <phoneticPr fontId="1"/>
  </si>
  <si>
    <t>○ 性別</t>
    <rPh sb="2" eb="4">
      <t>セイベツ</t>
    </rPh>
    <phoneticPr fontId="1"/>
  </si>
  <si>
    <t>Code</t>
    <phoneticPr fontId="1"/>
  </si>
  <si>
    <t>男子</t>
    <rPh sb="0" eb="2">
      <t>ダンシ</t>
    </rPh>
    <phoneticPr fontId="1"/>
  </si>
  <si>
    <t>女子</t>
    <rPh sb="0" eb="2">
      <t>ジョシ</t>
    </rPh>
    <phoneticPr fontId="1"/>
  </si>
  <si>
    <t>男女混合</t>
    <rPh sb="0" eb="2">
      <t>ダンジョ</t>
    </rPh>
    <rPh sb="2" eb="4">
      <t>コンゴウ</t>
    </rPh>
    <phoneticPr fontId="1"/>
  </si>
  <si>
    <t>Value</t>
    <phoneticPr fontId="1"/>
  </si>
  <si>
    <t>○ 風力</t>
    <rPh sb="2" eb="4">
      <t>フウリョク</t>
    </rPh>
    <phoneticPr fontId="1"/>
  </si>
  <si>
    <t>なし</t>
    <phoneticPr fontId="1"/>
  </si>
  <si>
    <t>あり</t>
    <phoneticPr fontId="1"/>
  </si>
  <si>
    <t>○ R.T.</t>
    <phoneticPr fontId="1"/>
  </si>
  <si>
    <t>○ 計測単位</t>
    <rPh sb="2" eb="4">
      <t>ケイソク</t>
    </rPh>
    <rPh sb="4" eb="6">
      <t>タンイ</t>
    </rPh>
    <phoneticPr fontId="1"/>
  </si>
  <si>
    <t>1/100 秒</t>
    <rPh sb="6" eb="7">
      <t>ビョウ</t>
    </rPh>
    <phoneticPr fontId="1"/>
  </si>
  <si>
    <t>1/10 秒</t>
    <rPh sb="5" eb="6">
      <t>ビョウ</t>
    </rPh>
    <phoneticPr fontId="1"/>
  </si>
  <si>
    <t>1 秒</t>
    <rPh sb="2" eb="3">
      <t>ビョウ</t>
    </rPh>
    <phoneticPr fontId="1"/>
  </si>
  <si>
    <t>○ Point</t>
    <phoneticPr fontId="1"/>
  </si>
  <si>
    <t>○ 種目</t>
    <rPh sb="2" eb="4">
      <t>シュモク</t>
    </rPh>
    <phoneticPr fontId="1"/>
  </si>
  <si>
    <t>100m</t>
    <phoneticPr fontId="1"/>
  </si>
  <si>
    <t>200m</t>
    <phoneticPr fontId="1"/>
  </si>
  <si>
    <t>400m</t>
    <phoneticPr fontId="1"/>
  </si>
  <si>
    <t>800m</t>
    <phoneticPr fontId="1"/>
  </si>
  <si>
    <t>1500m</t>
    <phoneticPr fontId="1"/>
  </si>
  <si>
    <t>5000m</t>
    <phoneticPr fontId="1"/>
  </si>
  <si>
    <t>10000m</t>
    <phoneticPr fontId="1"/>
  </si>
  <si>
    <t>110mH</t>
    <phoneticPr fontId="1"/>
  </si>
  <si>
    <t>400mH</t>
    <phoneticPr fontId="1"/>
  </si>
  <si>
    <t>3000mSC</t>
    <phoneticPr fontId="1"/>
  </si>
  <si>
    <t>AT01</t>
    <phoneticPr fontId="1"/>
  </si>
  <si>
    <t>規格</t>
    <rPh sb="0" eb="2">
      <t>キカク</t>
    </rPh>
    <phoneticPr fontId="1"/>
  </si>
  <si>
    <t>300m</t>
    <phoneticPr fontId="1"/>
  </si>
  <si>
    <t>600m</t>
    <phoneticPr fontId="1"/>
  </si>
  <si>
    <t>1000m</t>
    <phoneticPr fontId="1"/>
  </si>
  <si>
    <t>3000m</t>
    <phoneticPr fontId="1"/>
  </si>
  <si>
    <t>20000m</t>
    <phoneticPr fontId="1"/>
  </si>
  <si>
    <t>5000mW</t>
    <phoneticPr fontId="1"/>
  </si>
  <si>
    <t>10000mW</t>
    <phoneticPr fontId="1"/>
  </si>
  <si>
    <t>20000mW</t>
    <phoneticPr fontId="1"/>
  </si>
  <si>
    <t>BT01</t>
    <phoneticPr fontId="1"/>
  </si>
  <si>
    <t>CT01</t>
    <phoneticPr fontId="1"/>
  </si>
  <si>
    <t>CT03</t>
    <phoneticPr fontId="1"/>
  </si>
  <si>
    <t>DT01</t>
    <phoneticPr fontId="1"/>
  </si>
  <si>
    <t>DT02</t>
    <phoneticPr fontId="1"/>
  </si>
  <si>
    <t>AH01</t>
    <phoneticPr fontId="1"/>
  </si>
  <si>
    <t>AH02</t>
    <phoneticPr fontId="1"/>
  </si>
  <si>
    <t>100mH</t>
    <phoneticPr fontId="1"/>
  </si>
  <si>
    <t>BH01</t>
    <phoneticPr fontId="1"/>
  </si>
  <si>
    <t>300mH</t>
    <phoneticPr fontId="1"/>
  </si>
  <si>
    <t>2000mSC</t>
    <phoneticPr fontId="1"/>
  </si>
  <si>
    <t>1500mSC</t>
    <phoneticPr fontId="1"/>
  </si>
  <si>
    <t>DH01</t>
    <phoneticPr fontId="1"/>
  </si>
  <si>
    <t>2000m</t>
    <phoneticPr fontId="1"/>
  </si>
  <si>
    <t>DH03</t>
    <phoneticPr fontId="1"/>
  </si>
  <si>
    <t>DH02</t>
    <phoneticPr fontId="1"/>
  </si>
  <si>
    <t>DW01</t>
    <phoneticPr fontId="1"/>
  </si>
  <si>
    <t>3000mW</t>
    <phoneticPr fontId="1"/>
  </si>
  <si>
    <t>DW02</t>
    <phoneticPr fontId="1"/>
  </si>
  <si>
    <t>DW03</t>
    <phoneticPr fontId="1"/>
  </si>
  <si>
    <t>DW04</t>
    <phoneticPr fontId="1"/>
  </si>
  <si>
    <t>BT02</t>
    <phoneticPr fontId="1"/>
  </si>
  <si>
    <t>CT02</t>
    <phoneticPr fontId="1"/>
  </si>
  <si>
    <t>CT04</t>
    <phoneticPr fontId="1"/>
  </si>
  <si>
    <t>CT05</t>
    <phoneticPr fontId="1"/>
  </si>
  <si>
    <t>BH02</t>
    <phoneticPr fontId="1"/>
  </si>
  <si>
    <t>CT06</t>
    <phoneticPr fontId="1"/>
  </si>
  <si>
    <t>DT03</t>
    <phoneticPr fontId="1"/>
  </si>
  <si>
    <t>AT02</t>
    <phoneticPr fontId="1"/>
  </si>
  <si>
    <t>AT03</t>
    <phoneticPr fontId="1"/>
  </si>
  <si>
    <t>AT04</t>
  </si>
  <si>
    <t>145m</t>
    <phoneticPr fontId="1"/>
  </si>
  <si>
    <t>150m</t>
    <phoneticPr fontId="1"/>
  </si>
  <si>
    <t>計測単位</t>
    <phoneticPr fontId="1"/>
  </si>
  <si>
    <t>c1</t>
    <phoneticPr fontId="1"/>
  </si>
  <si>
    <t>c2</t>
  </si>
  <si>
    <t>c3</t>
  </si>
  <si>
    <t>1AT01</t>
    <phoneticPr fontId="1"/>
  </si>
  <si>
    <t>2AT01</t>
    <phoneticPr fontId="1"/>
  </si>
  <si>
    <t>1AT02</t>
    <phoneticPr fontId="1"/>
  </si>
  <si>
    <t>2AT02</t>
    <phoneticPr fontId="1"/>
  </si>
  <si>
    <t>1BT01</t>
    <phoneticPr fontId="1"/>
  </si>
  <si>
    <t>1CT01</t>
    <phoneticPr fontId="1"/>
  </si>
  <si>
    <t>2CT01</t>
    <phoneticPr fontId="1"/>
  </si>
  <si>
    <t>AH03</t>
    <phoneticPr fontId="1"/>
  </si>
  <si>
    <t>200mH</t>
    <phoneticPr fontId="1"/>
  </si>
  <si>
    <t>1CT02</t>
    <phoneticPr fontId="1"/>
  </si>
  <si>
    <t>2CT02</t>
    <phoneticPr fontId="1"/>
  </si>
  <si>
    <t>1DT01</t>
    <phoneticPr fontId="1"/>
  </si>
  <si>
    <t>2DT01</t>
    <phoneticPr fontId="1"/>
  </si>
  <si>
    <t>2DT02</t>
    <phoneticPr fontId="1"/>
  </si>
  <si>
    <t>2DH01</t>
    <phoneticPr fontId="1"/>
  </si>
  <si>
    <t>2AH01</t>
    <phoneticPr fontId="1"/>
  </si>
  <si>
    <t>1AH02</t>
    <phoneticPr fontId="1"/>
  </si>
  <si>
    <t>1AH03</t>
    <phoneticPr fontId="1"/>
  </si>
  <si>
    <t>2AH03</t>
    <phoneticPr fontId="1"/>
  </si>
  <si>
    <t>1BH01</t>
    <phoneticPr fontId="1"/>
  </si>
  <si>
    <t>1DH01</t>
    <phoneticPr fontId="1"/>
  </si>
  <si>
    <t>50m</t>
    <phoneticPr fontId="1"/>
  </si>
  <si>
    <t>60m</t>
    <phoneticPr fontId="1"/>
  </si>
  <si>
    <t>AT05</t>
  </si>
  <si>
    <t>AT06</t>
  </si>
  <si>
    <t>AH04</t>
  </si>
  <si>
    <t>AH05</t>
  </si>
  <si>
    <t>1AH05</t>
    <phoneticPr fontId="1"/>
  </si>
  <si>
    <t>2AH05</t>
    <phoneticPr fontId="1"/>
  </si>
  <si>
    <t>60mH</t>
    <phoneticPr fontId="1"/>
  </si>
  <si>
    <t>80mH</t>
    <phoneticPr fontId="1"/>
  </si>
  <si>
    <t>1AT04</t>
    <phoneticPr fontId="1"/>
  </si>
  <si>
    <t>2AT04</t>
    <phoneticPr fontId="1"/>
  </si>
  <si>
    <t>1CT04</t>
    <phoneticPr fontId="1"/>
  </si>
  <si>
    <t>25.434700</t>
  </si>
  <si>
    <t>18.000000</t>
  </si>
  <si>
    <t>1.810000</t>
  </si>
  <si>
    <t>17.857000</t>
  </si>
  <si>
    <t>21.000000</t>
  </si>
  <si>
    <t>5.842500</t>
  </si>
  <si>
    <t>38.000000</t>
  </si>
  <si>
    <t>4.990870</t>
  </si>
  <si>
    <t>42.500000</t>
  </si>
  <si>
    <t>1.537750</t>
  </si>
  <si>
    <t>82.000000</t>
  </si>
  <si>
    <t>1.342850</t>
  </si>
  <si>
    <t>91.700000</t>
  </si>
  <si>
    <t>0.132790</t>
  </si>
  <si>
    <t>235.000000</t>
  </si>
  <si>
    <t>1.850000</t>
  </si>
  <si>
    <t>0.111930</t>
  </si>
  <si>
    <t>254.000000</t>
  </si>
  <si>
    <t>1.880000</t>
  </si>
  <si>
    <t>0.037680</t>
  </si>
  <si>
    <t>480.000000</t>
  </si>
  <si>
    <t>0.028830</t>
  </si>
  <si>
    <t>535.000000</t>
  </si>
  <si>
    <t>0.010500</t>
  </si>
  <si>
    <t>1005.000000</t>
  </si>
  <si>
    <t>0.006830</t>
  </si>
  <si>
    <t>1150.000000</t>
  </si>
  <si>
    <t>0.004190</t>
  </si>
  <si>
    <t>1680.000000</t>
  </si>
  <si>
    <t>0.002720</t>
  </si>
  <si>
    <t>1920.000000</t>
  </si>
  <si>
    <t>0.000415</t>
  </si>
  <si>
    <t>4245.000000</t>
  </si>
  <si>
    <t>1.900000</t>
  </si>
  <si>
    <t>0.000369</t>
  </si>
  <si>
    <t>4920.000000</t>
  </si>
  <si>
    <t>5.743520</t>
  </si>
  <si>
    <t>28.500000</t>
  </si>
  <si>
    <t>1.920000</t>
  </si>
  <si>
    <t>9.230760</t>
  </si>
  <si>
    <t>26.700000</t>
  </si>
  <si>
    <t>1.835000</t>
  </si>
  <si>
    <t>3.495000</t>
  </si>
  <si>
    <t>45.500000</t>
  </si>
  <si>
    <t>2.975000</t>
  </si>
  <si>
    <t>52.000000</t>
  </si>
  <si>
    <t>1.146600</t>
  </si>
  <si>
    <t>92.000000</t>
  </si>
  <si>
    <t>0.996740</t>
  </si>
  <si>
    <t>103.000000</t>
  </si>
  <si>
    <t>0.005110</t>
  </si>
  <si>
    <t>1155.000000</t>
  </si>
  <si>
    <t>0.004080</t>
  </si>
  <si>
    <t>1320.000000</t>
  </si>
  <si>
    <t>58.015000</t>
  </si>
  <si>
    <t>11.500000</t>
  </si>
  <si>
    <t>46.084900</t>
  </si>
  <si>
    <t>13.000000</t>
  </si>
  <si>
    <t>20.517300</t>
  </si>
  <si>
    <t>15.500000</t>
  </si>
  <si>
    <t>20.047900</t>
  </si>
  <si>
    <t>17.000000</t>
  </si>
  <si>
    <t>0.087130</t>
  </si>
  <si>
    <t>305.500000</t>
  </si>
  <si>
    <t>○ 得点係数</t>
    <rPh sb="2" eb="4">
      <t>トクテン</t>
    </rPh>
    <rPh sb="4" eb="6">
      <t>ケイスウ</t>
    </rPh>
    <phoneticPr fontId="1"/>
  </si>
  <si>
    <t>2BT01</t>
    <phoneticPr fontId="1"/>
  </si>
  <si>
    <t>1CT06</t>
    <phoneticPr fontId="1"/>
  </si>
  <si>
    <t>2CT06</t>
    <phoneticPr fontId="1"/>
  </si>
  <si>
    <t>1DT02</t>
    <phoneticPr fontId="1"/>
  </si>
  <si>
    <t>2BH01</t>
    <phoneticPr fontId="1"/>
  </si>
  <si>
    <t>▲</t>
    <phoneticPr fontId="1"/>
  </si>
  <si>
    <t>計測間隔１(m)</t>
    <rPh sb="0" eb="2">
      <t>ケイソク</t>
    </rPh>
    <rPh sb="2" eb="4">
      <t>カンカク</t>
    </rPh>
    <phoneticPr fontId="1"/>
  </si>
  <si>
    <t>計測間隔２(m)</t>
    <rPh sb="0" eb="2">
      <t>ケイソク</t>
    </rPh>
    <rPh sb="2" eb="4">
      <t>カンカク</t>
    </rPh>
    <phoneticPr fontId="1"/>
  </si>
  <si>
    <t>● 基本設定</t>
    <rPh sb="2" eb="4">
      <t>キホン</t>
    </rPh>
    <rPh sb="4" eb="6">
      <t>セッテイ</t>
    </rPh>
    <phoneticPr fontId="1"/>
  </si>
  <si>
    <t>ID</t>
    <phoneticPr fontId="1"/>
  </si>
  <si>
    <t>ラウンド名</t>
    <rPh sb="4" eb="5">
      <t>メイ</t>
    </rPh>
    <phoneticPr fontId="1"/>
  </si>
  <si>
    <t>開始日時</t>
    <rPh sb="0" eb="2">
      <t>カイシ</t>
    </rPh>
    <rPh sb="2" eb="4">
      <t>ニチジ</t>
    </rPh>
    <phoneticPr fontId="1"/>
  </si>
  <si>
    <t>組当たりの最大数</t>
    <rPh sb="0" eb="1">
      <t>クミ</t>
    </rPh>
    <rPh sb="1" eb="2">
      <t>ア</t>
    </rPh>
    <rPh sb="5" eb="7">
      <t>サイダイ</t>
    </rPh>
    <rPh sb="7" eb="8">
      <t>スウ</t>
    </rPh>
    <phoneticPr fontId="1"/>
  </si>
  <si>
    <t>組数</t>
    <rPh sb="0" eb="2">
      <t>クミスウ</t>
    </rPh>
    <phoneticPr fontId="1"/>
  </si>
  <si>
    <t>着取</t>
    <rPh sb="0" eb="1">
      <t>チャク</t>
    </rPh>
    <rPh sb="1" eb="2">
      <t>ド</t>
    </rPh>
    <phoneticPr fontId="1"/>
  </si>
  <si>
    <t>＋α</t>
    <phoneticPr fontId="1"/>
  </si>
  <si>
    <t>組の決め方</t>
    <rPh sb="0" eb="1">
      <t>クミ</t>
    </rPh>
    <rPh sb="2" eb="3">
      <t>キ</t>
    </rPh>
    <rPh sb="4" eb="5">
      <t>カタ</t>
    </rPh>
    <phoneticPr fontId="1"/>
  </si>
  <si>
    <t>レーンの決め方</t>
    <rPh sb="4" eb="5">
      <t>キ</t>
    </rPh>
    <rPh sb="6" eb="7">
      <t>カタ</t>
    </rPh>
    <phoneticPr fontId="1"/>
  </si>
  <si>
    <t>次ラウンドの人数</t>
    <rPh sb="5" eb="7">
      <t>ニンズウ</t>
    </rPh>
    <phoneticPr fontId="1"/>
  </si>
  <si>
    <t>番組編成</t>
    <rPh sb="0" eb="2">
      <t>バングミ</t>
    </rPh>
    <rPh sb="2" eb="4">
      <t>ヘンセイ</t>
    </rPh>
    <phoneticPr fontId="1"/>
  </si>
  <si>
    <t>通過基準</t>
    <rPh sb="0" eb="2">
      <t>ツウカ</t>
    </rPh>
    <rPh sb="2" eb="4">
      <t>キジュン</t>
    </rPh>
    <phoneticPr fontId="1"/>
  </si>
  <si>
    <t>:</t>
    <phoneticPr fontId="1"/>
  </si>
  <si>
    <t>.</t>
    <phoneticPr fontId="1"/>
  </si>
  <si>
    <t>種別</t>
    <rPh sb="0" eb="2">
      <t>シュベツ</t>
    </rPh>
    <phoneticPr fontId="1"/>
  </si>
  <si>
    <t>メッセージ内容</t>
    <rPh sb="5" eb="7">
      <t>ナイヨウ</t>
    </rPh>
    <phoneticPr fontId="1"/>
  </si>
  <si>
    <t>連番</t>
    <rPh sb="0" eb="2">
      <t>レンバン</t>
    </rPh>
    <phoneticPr fontId="1"/>
  </si>
  <si>
    <t>FATAL</t>
  </si>
  <si>
    <t>メッセージ概略</t>
    <rPh sb="5" eb="7">
      <t>ガイリャク</t>
    </rPh>
    <phoneticPr fontId="1"/>
  </si>
  <si>
    <t>コード</t>
    <phoneticPr fontId="1"/>
  </si>
  <si>
    <t>ERROR</t>
  </si>
  <si>
    <t>ラウンド数チェックエラー</t>
    <rPh sb="4" eb="5">
      <t>スウ</t>
    </rPh>
    <phoneticPr fontId="1"/>
  </si>
  <si>
    <t>システムエラー</t>
    <phoneticPr fontId="1"/>
  </si>
  <si>
    <t>予期せぬエラーが発生しました。
システム管理者にお問い合わせください。</t>
    <rPh sb="0" eb="2">
      <t>ヨキ</t>
    </rPh>
    <rPh sb="8" eb="10">
      <t>ハッセイ</t>
    </rPh>
    <rPh sb="20" eb="23">
      <t>カンリシャ</t>
    </rPh>
    <rPh sb="25" eb="26">
      <t>ト</t>
    </rPh>
    <rPh sb="27" eb="28">
      <t>ア</t>
    </rPh>
    <phoneticPr fontId="1"/>
  </si>
  <si>
    <t>ラウンド数が無効です。
ラウンド数は0より大きな値を入れてください。</t>
    <rPh sb="4" eb="5">
      <t>スウ</t>
    </rPh>
    <rPh sb="6" eb="8">
      <t>ムコウ</t>
    </rPh>
    <rPh sb="16" eb="17">
      <t>スウ</t>
    </rPh>
    <rPh sb="21" eb="22">
      <t>オオ</t>
    </rPh>
    <rPh sb="24" eb="25">
      <t>アタイ</t>
    </rPh>
    <rPh sb="26" eb="27">
      <t>イ</t>
    </rPh>
    <phoneticPr fontId="1"/>
  </si>
  <si>
    <t>○ 組の決め方</t>
    <rPh sb="2" eb="3">
      <t>グミ</t>
    </rPh>
    <rPh sb="4" eb="5">
      <t>キ</t>
    </rPh>
    <rPh sb="6" eb="7">
      <t>カタ</t>
    </rPh>
    <phoneticPr fontId="1"/>
  </si>
  <si>
    <t>均等</t>
    <rPh sb="0" eb="2">
      <t>キントウ</t>
    </rPh>
    <phoneticPr fontId="1"/>
  </si>
  <si>
    <t>遅い順</t>
    <rPh sb="0" eb="1">
      <t>オソ</t>
    </rPh>
    <rPh sb="2" eb="3">
      <t>ジュン</t>
    </rPh>
    <phoneticPr fontId="1"/>
  </si>
  <si>
    <t>○ レーンの決め方</t>
    <rPh sb="6" eb="7">
      <t>キ</t>
    </rPh>
    <rPh sb="8" eb="9">
      <t>カタ</t>
    </rPh>
    <phoneticPr fontId="1"/>
  </si>
  <si>
    <t>速い順</t>
    <rPh sb="0" eb="1">
      <t>ハヤ</t>
    </rPh>
    <rPh sb="2" eb="3">
      <t>ジュン</t>
    </rPh>
    <phoneticPr fontId="1"/>
  </si>
  <si>
    <t>ランダム</t>
    <phoneticPr fontId="1"/>
  </si>
  <si>
    <t>シードレーン</t>
    <phoneticPr fontId="1"/>
  </si>
  <si>
    <t>上位レーン</t>
    <rPh sb="0" eb="2">
      <t>ジョウイ</t>
    </rPh>
    <phoneticPr fontId="1"/>
  </si>
  <si>
    <t>中位レーン</t>
    <rPh sb="0" eb="2">
      <t>チュウイ</t>
    </rPh>
    <phoneticPr fontId="1"/>
  </si>
  <si>
    <t>下位レーン</t>
    <rPh sb="0" eb="2">
      <t>カイ</t>
    </rPh>
    <phoneticPr fontId="1"/>
  </si>
  <si>
    <t>予備レーン</t>
    <rPh sb="0" eb="2">
      <t>ヨビ</t>
    </rPh>
    <phoneticPr fontId="1"/>
  </si>
  <si>
    <t>● レーン設定(レーン番号を","で区切ってください)</t>
    <rPh sb="5" eb="7">
      <t>セッテイ</t>
    </rPh>
    <rPh sb="11" eb="13">
      <t>バンゴウ</t>
    </rPh>
    <rPh sb="18" eb="20">
      <t>クギ</t>
    </rPh>
    <phoneticPr fontId="1"/>
  </si>
  <si>
    <t>競技場のレーン</t>
    <rPh sb="0" eb="3">
      <t>キョウギジョウ</t>
    </rPh>
    <phoneticPr fontId="1"/>
  </si>
  <si>
    <t>○ 競技場のレーン</t>
    <rPh sb="2" eb="5">
      <t>キョウギジョウ</t>
    </rPh>
    <phoneticPr fontId="1"/>
  </si>
  <si>
    <t>Bib</t>
    <phoneticPr fontId="1"/>
  </si>
  <si>
    <t>氏名</t>
    <rPh sb="0" eb="2">
      <t>シメイ</t>
    </rPh>
    <phoneticPr fontId="1"/>
  </si>
  <si>
    <t>年</t>
    <rPh sb="0" eb="1">
      <t>ネン</t>
    </rPh>
    <phoneticPr fontId="1"/>
  </si>
  <si>
    <t>カナ名</t>
    <rPh sb="2" eb="3">
      <t>メイ</t>
    </rPh>
    <phoneticPr fontId="1"/>
  </si>
  <si>
    <t>所属チーム名</t>
    <rPh sb="0" eb="2">
      <t>ショゾク</t>
    </rPh>
    <rPh sb="5" eb="6">
      <t>メイ</t>
    </rPh>
    <phoneticPr fontId="1"/>
  </si>
  <si>
    <t>所属地</t>
    <rPh sb="0" eb="2">
      <t>ショゾク</t>
    </rPh>
    <rPh sb="2" eb="3">
      <t>チ</t>
    </rPh>
    <phoneticPr fontId="1"/>
  </si>
  <si>
    <t>資格記録２</t>
    <rPh sb="0" eb="2">
      <t>シカク</t>
    </rPh>
    <rPh sb="2" eb="4">
      <t>キロク</t>
    </rPh>
    <phoneticPr fontId="1"/>
  </si>
  <si>
    <t>組</t>
    <rPh sb="0" eb="1">
      <t>クミ</t>
    </rPh>
    <phoneticPr fontId="1"/>
  </si>
  <si>
    <t>ORD</t>
    <phoneticPr fontId="1"/>
  </si>
  <si>
    <t>ラウンド</t>
    <phoneticPr fontId="1"/>
  </si>
  <si>
    <t>着順</t>
    <rPh sb="0" eb="2">
      <t>チャクジュン</t>
    </rPh>
    <phoneticPr fontId="1"/>
  </si>
  <si>
    <t>実成績</t>
    <rPh sb="0" eb="1">
      <t>ジツ</t>
    </rPh>
    <rPh sb="1" eb="3">
      <t>セイセキ</t>
    </rPh>
    <phoneticPr fontId="1"/>
  </si>
  <si>
    <t>R.T.</t>
    <phoneticPr fontId="1"/>
  </si>
  <si>
    <t>欠場</t>
    <rPh sb="0" eb="2">
      <t>ケツジョウ</t>
    </rPh>
    <phoneticPr fontId="1"/>
  </si>
  <si>
    <t>救済</t>
    <rPh sb="0" eb="2">
      <t>キュウサイ</t>
    </rPh>
    <phoneticPr fontId="1"/>
  </si>
  <si>
    <t>通過</t>
    <rPh sb="0" eb="2">
      <t>ツウカ</t>
    </rPh>
    <phoneticPr fontId="1"/>
  </si>
  <si>
    <t>累積</t>
    <rPh sb="0" eb="2">
      <t>ルイセキ</t>
    </rPh>
    <phoneticPr fontId="1"/>
  </si>
  <si>
    <t>○ 救済</t>
    <rPh sb="2" eb="4">
      <t>キュウサイ</t>
    </rPh>
    <phoneticPr fontId="1"/>
  </si>
  <si>
    <t>qJ</t>
    <phoneticPr fontId="1"/>
  </si>
  <si>
    <t>qR</t>
    <phoneticPr fontId="1"/>
  </si>
  <si>
    <t>抗議による救済</t>
    <rPh sb="0" eb="2">
      <t>コウギ</t>
    </rPh>
    <rPh sb="5" eb="7">
      <t>キュウサイ</t>
    </rPh>
    <phoneticPr fontId="1"/>
  </si>
  <si>
    <t>審判長判断による救済</t>
    <rPh sb="0" eb="3">
      <t>シンパンチョウ</t>
    </rPh>
    <rPh sb="3" eb="5">
      <t>ハンダン</t>
    </rPh>
    <rPh sb="8" eb="10">
      <t>キュウサイ</t>
    </rPh>
    <phoneticPr fontId="1"/>
  </si>
  <si>
    <t>対象ラウンド</t>
    <rPh sb="0" eb="2">
      <t>タイショウ</t>
    </rPh>
    <phoneticPr fontId="1"/>
  </si>
  <si>
    <t>名称</t>
    <rPh sb="0" eb="2">
      <t>メイショウ</t>
    </rPh>
    <phoneticPr fontId="1"/>
  </si>
  <si>
    <t>略称</t>
    <rPh sb="0" eb="2">
      <t>リャクショウ</t>
    </rPh>
    <phoneticPr fontId="1"/>
  </si>
  <si>
    <t>記録</t>
    <rPh sb="0" eb="2">
      <t>キロク</t>
    </rPh>
    <phoneticPr fontId="1"/>
  </si>
  <si>
    <t>月</t>
    <rPh sb="0" eb="1">
      <t>ゲツ</t>
    </rPh>
    <phoneticPr fontId="1"/>
  </si>
  <si>
    <t>日</t>
    <rPh sb="0" eb="1">
      <t>ニチ</t>
    </rPh>
    <phoneticPr fontId="1"/>
  </si>
  <si>
    <t>選手区分</t>
    <phoneticPr fontId="1"/>
  </si>
  <si>
    <t>国籍</t>
    <rPh sb="0" eb="2">
      <t>コクセキ</t>
    </rPh>
    <phoneticPr fontId="1"/>
  </si>
  <si>
    <t>ラテン表記</t>
    <rPh sb="3" eb="5">
      <t>ヒョウキ</t>
    </rPh>
    <phoneticPr fontId="1"/>
  </si>
  <si>
    <t>個人ID</t>
    <rPh sb="0" eb="2">
      <t>コジン</t>
    </rPh>
    <phoneticPr fontId="1"/>
  </si>
  <si>
    <t>エントリーリスト</t>
    <phoneticPr fontId="1"/>
  </si>
  <si>
    <t>● マスタ登録情報</t>
    <rPh sb="5" eb="7">
      <t>トウロク</t>
    </rPh>
    <rPh sb="7" eb="9">
      <t>ジョウホウ</t>
    </rPh>
    <phoneticPr fontId="1"/>
  </si>
  <si>
    <t>競技会名／コード</t>
    <rPh sb="0" eb="3">
      <t>キョウギカイ</t>
    </rPh>
    <rPh sb="3" eb="4">
      <t>メイ</t>
    </rPh>
    <phoneticPr fontId="1"/>
  </si>
  <si>
    <t>競技場／コード</t>
    <rPh sb="0" eb="3">
      <t>キョウギジョウ</t>
    </rPh>
    <phoneticPr fontId="1"/>
  </si>
  <si>
    <t>開催地</t>
    <rPh sb="0" eb="3">
      <t>カイサイチ</t>
    </rPh>
    <phoneticPr fontId="1"/>
  </si>
  <si>
    <t>開催年</t>
    <rPh sb="0" eb="2">
      <t>カイサイ</t>
    </rPh>
    <rPh sb="2" eb="3">
      <t>ネン</t>
    </rPh>
    <phoneticPr fontId="1"/>
  </si>
  <si>
    <t>開催期間</t>
    <rPh sb="0" eb="2">
      <t>カイサイ</t>
    </rPh>
    <rPh sb="2" eb="4">
      <t>キカン</t>
    </rPh>
    <phoneticPr fontId="1"/>
  </si>
  <si>
    <t>● テンプレート情報</t>
    <rPh sb="8" eb="10">
      <t>ジョウホウ</t>
    </rPh>
    <phoneticPr fontId="1"/>
  </si>
  <si>
    <t>スタートリスト</t>
    <phoneticPr fontId="1"/>
  </si>
  <si>
    <t>リザルト</t>
    <phoneticPr fontId="1"/>
  </si>
  <si>
    <t>ランキングリスト</t>
    <phoneticPr fontId="1"/>
  </si>
  <si>
    <t>html_temp\track-start-list.html</t>
    <phoneticPr fontId="1"/>
  </si>
  <si>
    <t>html_temp\track-result.html</t>
    <phoneticPr fontId="1"/>
  </si>
  <si>
    <t>html_temp\track-entry-list.html</t>
    <phoneticPr fontId="1"/>
  </si>
  <si>
    <t>html_temp\track-ranking-list.html</t>
    <phoneticPr fontId="1"/>
  </si>
  <si>
    <t>出力フォルダ</t>
    <rPh sb="0" eb="2">
      <t>シュツリョク</t>
    </rPh>
    <phoneticPr fontId="1"/>
  </si>
  <si>
    <t>output\</t>
    <phoneticPr fontId="1"/>
  </si>
  <si>
    <t xml:space="preserve"> </t>
    <phoneticPr fontId="1"/>
  </si>
  <si>
    <t>ラウンド</t>
    <phoneticPr fontId="1"/>
  </si>
  <si>
    <t>組</t>
    <rPh sb="0" eb="1">
      <t>クミ</t>
    </rPh>
    <phoneticPr fontId="1"/>
  </si>
  <si>
    <t>ORD</t>
    <phoneticPr fontId="1"/>
  </si>
  <si>
    <t>着順</t>
    <rPh sb="0" eb="2">
      <t>チャクジュン</t>
    </rPh>
    <phoneticPr fontId="1"/>
  </si>
  <si>
    <t>実成績</t>
    <rPh sb="0" eb="1">
      <t>ジツ</t>
    </rPh>
    <rPh sb="1" eb="3">
      <t>セイセキ</t>
    </rPh>
    <phoneticPr fontId="1"/>
  </si>
  <si>
    <t>R.T.</t>
    <phoneticPr fontId="1"/>
  </si>
  <si>
    <t>救済</t>
    <rPh sb="0" eb="2">
      <t>キュウサイ</t>
    </rPh>
    <phoneticPr fontId="1"/>
  </si>
  <si>
    <t>欠場</t>
    <rPh sb="0" eb="2">
      <t>ケツジョウ</t>
    </rPh>
    <phoneticPr fontId="1"/>
  </si>
  <si>
    <t>失格理由</t>
    <rPh sb="0" eb="2">
      <t>シッカク</t>
    </rPh>
    <rPh sb="2" eb="4">
      <t>リユウ</t>
    </rPh>
    <phoneticPr fontId="1"/>
  </si>
  <si>
    <t>備考</t>
    <rPh sb="0" eb="2">
      <t>ビコウ</t>
    </rPh>
    <phoneticPr fontId="1"/>
  </si>
  <si>
    <t>棄権</t>
    <rPh sb="0" eb="2">
      <t>キケン</t>
    </rPh>
    <phoneticPr fontId="1"/>
  </si>
  <si>
    <t>Bib</t>
  </si>
  <si>
    <t>選手区分</t>
  </si>
  <si>
    <t>成績</t>
    <rPh sb="0" eb="2">
      <t>セイセキ</t>
    </rPh>
    <phoneticPr fontId="1"/>
  </si>
  <si>
    <t>途中棄権</t>
    <rPh sb="0" eb="2">
      <t>トチュウ</t>
    </rPh>
    <rPh sb="2" eb="4">
      <t>キケン</t>
    </rPh>
    <phoneticPr fontId="1"/>
  </si>
  <si>
    <t>失格理由</t>
    <rPh sb="0" eb="2">
      <t>シッカク</t>
    </rPh>
    <rPh sb="2" eb="4">
      <t>リユウ</t>
    </rPh>
    <phoneticPr fontId="1"/>
  </si>
  <si>
    <t>累積</t>
    <rPh sb="0" eb="2">
      <t>ルイセキ</t>
    </rPh>
    <phoneticPr fontId="1"/>
  </si>
  <si>
    <t>成績</t>
    <rPh sb="0" eb="2">
      <t>セイセキ</t>
    </rPh>
    <phoneticPr fontId="1"/>
  </si>
  <si>
    <t>総合順位</t>
    <rPh sb="0" eb="2">
      <t>ソウゴウ</t>
    </rPh>
    <rPh sb="2" eb="4">
      <t>ジュンイ</t>
    </rPh>
    <phoneticPr fontId="1"/>
  </si>
  <si>
    <t>記録順位</t>
    <rPh sb="0" eb="2">
      <t>キロク</t>
    </rPh>
    <rPh sb="2" eb="4">
      <t>ジュンイ</t>
    </rPh>
    <phoneticPr fontId="1"/>
  </si>
  <si>
    <t>備考</t>
    <rPh sb="0" eb="2">
      <t>ビコウ</t>
    </rPh>
    <phoneticPr fontId="1"/>
  </si>
  <si>
    <t>風速</t>
    <rPh sb="0" eb="2">
      <t>フウソク</t>
    </rPh>
    <phoneticPr fontId="1"/>
  </si>
  <si>
    <t>● 組</t>
    <rPh sb="2" eb="3">
      <t>クミ</t>
    </rPh>
    <phoneticPr fontId="1"/>
  </si>
  <si>
    <t>● ラウンド成績</t>
    <rPh sb="6" eb="8">
      <t>セイセキ</t>
    </rPh>
    <phoneticPr fontId="1"/>
  </si>
  <si>
    <t>風速</t>
    <rPh sb="0" eb="2">
      <t>フウソク</t>
    </rPh>
    <phoneticPr fontId="1"/>
  </si>
  <si>
    <t>得点</t>
    <rPh sb="0" eb="2">
      <t>トクテン</t>
    </rPh>
    <phoneticPr fontId="1"/>
  </si>
  <si>
    <t>得点</t>
    <rPh sb="0" eb="2">
      <t>トクテン</t>
    </rPh>
    <phoneticPr fontId="1"/>
  </si>
  <si>
    <t>最終更新</t>
    <rPh sb="0" eb="2">
      <t>サイシュウ</t>
    </rPh>
    <rPh sb="2" eb="4">
      <t>コウシン</t>
    </rPh>
    <phoneticPr fontId="1"/>
  </si>
  <si>
    <t>最終更新</t>
    <rPh sb="0" eb="2">
      <t>サイシュウ</t>
    </rPh>
    <rPh sb="2" eb="4">
      <t>コウシン</t>
    </rPh>
    <phoneticPr fontId="1"/>
  </si>
  <si>
    <t>ID</t>
    <phoneticPr fontId="1"/>
  </si>
  <si>
    <t>● 選手リスト</t>
    <rPh sb="2" eb="4">
      <t>センシュ</t>
    </rPh>
    <phoneticPr fontId="1"/>
  </si>
  <si>
    <t>個人ID</t>
    <rPh sb="0" eb="2">
      <t>コジン</t>
    </rPh>
    <phoneticPr fontId="1"/>
  </si>
  <si>
    <t>成績登録</t>
    <rPh sb="0" eb="2">
      <t>セイセキ</t>
    </rPh>
    <rPh sb="2" eb="4">
      <t>トウロク</t>
    </rPh>
    <phoneticPr fontId="1"/>
  </si>
  <si>
    <t>歴代記録</t>
    <rPh sb="0" eb="2">
      <t>レキダイ</t>
    </rPh>
    <rPh sb="2" eb="4">
      <t>キロク</t>
    </rPh>
    <phoneticPr fontId="1"/>
  </si>
  <si>
    <t>計測区分</t>
    <rPh sb="0" eb="2">
      <t>ケイソク</t>
    </rPh>
    <rPh sb="2" eb="4">
      <t>クブン</t>
    </rPh>
    <phoneticPr fontId="1"/>
  </si>
  <si>
    <t>人数</t>
    <rPh sb="0" eb="2">
      <t>ニンズウ</t>
    </rPh>
    <phoneticPr fontId="1"/>
  </si>
  <si>
    <t>オープン参加</t>
    <rPh sb="4" eb="6">
      <t>サンカ</t>
    </rPh>
    <phoneticPr fontId="1"/>
  </si>
  <si>
    <t>ｵｰﾌﾟﾝ参加</t>
    <rPh sb="5" eb="7">
      <t>サンカ</t>
    </rPh>
    <phoneticPr fontId="1"/>
  </si>
  <si>
    <t>Result ID</t>
    <phoneticPr fontId="1"/>
  </si>
  <si>
    <t>JPN</t>
    <phoneticPr fontId="1"/>
  </si>
  <si>
    <t>QUESTION</t>
  </si>
  <si>
    <t>組変更確認</t>
    <rPh sb="0" eb="1">
      <t>クミ</t>
    </rPh>
    <rPh sb="1" eb="3">
      <t>ヘンコウ</t>
    </rPh>
    <rPh sb="3" eb="5">
      <t>カクニン</t>
    </rPh>
    <phoneticPr fontId="1"/>
  </si>
  <si>
    <t>登録する組を変更します。
今まで入力した結果は破棄されます。
よろしいですか？</t>
    <rPh sb="0" eb="2">
      <t>トウロク</t>
    </rPh>
    <rPh sb="4" eb="5">
      <t>クミ</t>
    </rPh>
    <rPh sb="6" eb="8">
      <t>ヘンコウ</t>
    </rPh>
    <rPh sb="13" eb="14">
      <t>イマ</t>
    </rPh>
    <rPh sb="16" eb="18">
      <t>ニュウリョク</t>
    </rPh>
    <rPh sb="20" eb="22">
      <t>ケッカ</t>
    </rPh>
    <rPh sb="23" eb="25">
      <t>ハキ</t>
    </rPh>
    <phoneticPr fontId="1"/>
  </si>
  <si>
    <t>組ロード確認</t>
    <rPh sb="0" eb="1">
      <t>クミ</t>
    </rPh>
    <rPh sb="4" eb="6">
      <t>カクニン</t>
    </rPh>
    <phoneticPr fontId="1"/>
  </si>
  <si>
    <t>結果一覧表からロードします。
よろしいですか？</t>
    <rPh sb="0" eb="2">
      <t>ケッカ</t>
    </rPh>
    <rPh sb="2" eb="4">
      <t>イチラン</t>
    </rPh>
    <rPh sb="4" eb="5">
      <t>ヒョウ</t>
    </rPh>
    <phoneticPr fontId="1"/>
  </si>
  <si>
    <t>同記録</t>
    <rPh sb="0" eb="1">
      <t>ドウ</t>
    </rPh>
    <rPh sb="1" eb="3">
      <t>キロク</t>
    </rPh>
    <phoneticPr fontId="1"/>
  </si>
  <si>
    <t>進出者数</t>
    <rPh sb="0" eb="2">
      <t>シンシュツ</t>
    </rPh>
    <rPh sb="2" eb="3">
      <t>シャ</t>
    </rPh>
    <rPh sb="3" eb="4">
      <t>スウ</t>
    </rPh>
    <phoneticPr fontId="1"/>
  </si>
  <si>
    <t>着</t>
    <rPh sb="0" eb="1">
      <t>チャク</t>
    </rPh>
    <phoneticPr fontId="1"/>
  </si>
  <si>
    <t>進出</t>
    <rPh sb="0" eb="2">
      <t>シンシュツ</t>
    </rPh>
    <phoneticPr fontId="1"/>
  </si>
  <si>
    <t>名</t>
    <rPh sb="0" eb="1">
      <t>メイ</t>
    </rPh>
    <phoneticPr fontId="1"/>
  </si>
  <si>
    <t>次ラウンド進出者決定</t>
    <rPh sb="0" eb="1">
      <t>ジ</t>
    </rPh>
    <rPh sb="5" eb="7">
      <t>シンシュツ</t>
    </rPh>
    <rPh sb="7" eb="8">
      <t>シャ</t>
    </rPh>
    <rPh sb="8" eb="10">
      <t>ケッテイ</t>
    </rPh>
    <phoneticPr fontId="1"/>
  </si>
  <si>
    <t>予選</t>
    <phoneticPr fontId="1"/>
  </si>
  <si>
    <t>INFO</t>
  </si>
  <si>
    <t>成績登録完了</t>
    <rPh sb="0" eb="2">
      <t>セイセキ</t>
    </rPh>
    <rPh sb="2" eb="4">
      <t>トウロク</t>
    </rPh>
    <rPh sb="4" eb="6">
      <t>カンリョウ</t>
    </rPh>
    <phoneticPr fontId="1"/>
  </si>
  <si>
    <t>順位集計完了</t>
    <rPh sb="0" eb="2">
      <t>ジュンイ</t>
    </rPh>
    <rPh sb="2" eb="4">
      <t>シュウケイ</t>
    </rPh>
    <rPh sb="4" eb="6">
      <t>カンリョウ</t>
    </rPh>
    <phoneticPr fontId="1"/>
  </si>
  <si>
    <t>抽選あり通知</t>
    <rPh sb="0" eb="2">
      <t>チュウセン</t>
    </rPh>
    <rPh sb="4" eb="6">
      <t>ツウチ</t>
    </rPh>
    <phoneticPr fontId="1"/>
  </si>
  <si>
    <t>次ラウンド進出候補者が規定人数を超えました。
抽選を行って次ラウンド進出者を決定してください。</t>
    <rPh sb="0" eb="1">
      <t>ジ</t>
    </rPh>
    <rPh sb="5" eb="7">
      <t>シンシュツ</t>
    </rPh>
    <rPh sb="7" eb="9">
      <t>コウホ</t>
    </rPh>
    <rPh sb="9" eb="10">
      <t>シャ</t>
    </rPh>
    <rPh sb="11" eb="13">
      <t>キテイ</t>
    </rPh>
    <rPh sb="13" eb="15">
      <t>ニンズウ</t>
    </rPh>
    <rPh sb="16" eb="17">
      <t>コ</t>
    </rPh>
    <rPh sb="23" eb="25">
      <t>チュウセン</t>
    </rPh>
    <rPh sb="26" eb="27">
      <t>オコナ</t>
    </rPh>
    <rPh sb="29" eb="30">
      <t>ジ</t>
    </rPh>
    <rPh sb="34" eb="36">
      <t>シンシュツ</t>
    </rPh>
    <rPh sb="36" eb="37">
      <t>シャ</t>
    </rPh>
    <rPh sb="38" eb="40">
      <t>ケッテイ</t>
    </rPh>
    <phoneticPr fontId="1"/>
  </si>
  <si>
    <t>{0}{1}組の成績を登録しました。</t>
    <rPh sb="6" eb="7">
      <t>クミ</t>
    </rPh>
    <rPh sb="8" eb="10">
      <t>セイセキ</t>
    </rPh>
    <rPh sb="11" eb="13">
      <t>トウロク</t>
    </rPh>
    <phoneticPr fontId="1"/>
  </si>
  <si>
    <t>入力エラー</t>
    <rPh sb="0" eb="2">
      <t>ニュウリョク</t>
    </rPh>
    <phoneticPr fontId="1"/>
  </si>
  <si>
    <t>次ラウンドへ進出する人数は{0}名ですが、進出者を{1}名選択しています。
進出者を{0}名選択してください。</t>
    <rPh sb="0" eb="1">
      <t>ツギ</t>
    </rPh>
    <rPh sb="6" eb="8">
      <t>シンシュツ</t>
    </rPh>
    <rPh sb="10" eb="12">
      <t>ニンズウ</t>
    </rPh>
    <rPh sb="16" eb="17">
      <t>メイ</t>
    </rPh>
    <rPh sb="21" eb="23">
      <t>シンシュツ</t>
    </rPh>
    <rPh sb="23" eb="24">
      <t>シャ</t>
    </rPh>
    <rPh sb="28" eb="29">
      <t>メイ</t>
    </rPh>
    <rPh sb="29" eb="31">
      <t>センタク</t>
    </rPh>
    <rPh sb="38" eb="40">
      <t>シンシュツ</t>
    </rPh>
    <rPh sb="40" eb="41">
      <t>シャ</t>
    </rPh>
    <rPh sb="45" eb="46">
      <t>メイ</t>
    </rPh>
    <rPh sb="46" eb="48">
      <t>センタク</t>
    </rPh>
    <phoneticPr fontId="1"/>
  </si>
  <si>
    <t>名選択</t>
    <rPh sb="0" eb="1">
      <t>メイ</t>
    </rPh>
    <rPh sb="1" eb="3">
      <t>センタク</t>
    </rPh>
    <phoneticPr fontId="1"/>
  </si>
  <si>
    <t>順位集計確認</t>
    <rPh sb="0" eb="2">
      <t>ジュンイ</t>
    </rPh>
    <rPh sb="2" eb="4">
      <t>シュウケイ</t>
    </rPh>
    <rPh sb="4" eb="6">
      <t>カクニン</t>
    </rPh>
    <phoneticPr fontId="1"/>
  </si>
  <si>
    <t>すでに順位を集計した場合は、リセットされます。
このまま集計を続行しますか？</t>
    <rPh sb="3" eb="5">
      <t>ジュンイ</t>
    </rPh>
    <rPh sb="6" eb="8">
      <t>シュウケイ</t>
    </rPh>
    <rPh sb="10" eb="12">
      <t>バアイ</t>
    </rPh>
    <rPh sb="28" eb="30">
      <t>シュウケイ</t>
    </rPh>
    <rPh sb="31" eb="33">
      <t>ゾッコウ</t>
    </rPh>
    <phoneticPr fontId="1"/>
  </si>
  <si>
    <t>進出者抽出確認</t>
    <rPh sb="0" eb="2">
      <t>シンシュツ</t>
    </rPh>
    <rPh sb="2" eb="3">
      <t>シャ</t>
    </rPh>
    <rPh sb="3" eb="5">
      <t>チュウシュツ</t>
    </rPh>
    <rPh sb="5" eb="7">
      <t>カクニン</t>
    </rPh>
    <phoneticPr fontId="1"/>
  </si>
  <si>
    <t>次ラウンド進出者をリストに追加します。
進出者全員を追加しますか？</t>
    <rPh sb="0" eb="1">
      <t>ツギ</t>
    </rPh>
    <rPh sb="5" eb="7">
      <t>シンシュツ</t>
    </rPh>
    <rPh sb="7" eb="8">
      <t>シャ</t>
    </rPh>
    <rPh sb="13" eb="15">
      <t>ツイカ</t>
    </rPh>
    <rPh sb="20" eb="22">
      <t>シンシュツ</t>
    </rPh>
    <rPh sb="22" eb="23">
      <t>シャ</t>
    </rPh>
    <rPh sb="23" eb="25">
      <t>ゼンイン</t>
    </rPh>
    <rPh sb="26" eb="28">
      <t>ツイカ</t>
    </rPh>
    <phoneticPr fontId="1"/>
  </si>
  <si>
    <t>進出者数入力</t>
    <rPh sb="0" eb="2">
      <t>シンシュツ</t>
    </rPh>
    <rPh sb="2" eb="3">
      <t>シャ</t>
    </rPh>
    <rPh sb="3" eb="4">
      <t>スウ</t>
    </rPh>
    <rPh sb="4" eb="6">
      <t>ニュウリョク</t>
    </rPh>
    <phoneticPr fontId="1"/>
  </si>
  <si>
    <t>リストに追加する対象の順位を入力してください。
最下位よりも数字が大きい場合は、全員追加します。</t>
    <rPh sb="4" eb="6">
      <t>ツイカ</t>
    </rPh>
    <rPh sb="8" eb="10">
      <t>タイショウ</t>
    </rPh>
    <rPh sb="11" eb="13">
      <t>ジュンイ</t>
    </rPh>
    <rPh sb="14" eb="16">
      <t>ニュウリョク</t>
    </rPh>
    <rPh sb="24" eb="27">
      <t>サイカイ</t>
    </rPh>
    <rPh sb="30" eb="32">
      <t>スウジ</t>
    </rPh>
    <rPh sb="33" eb="34">
      <t>オオ</t>
    </rPh>
    <rPh sb="36" eb="38">
      <t>バアイ</t>
    </rPh>
    <rPh sb="40" eb="42">
      <t>ゼンイン</t>
    </rPh>
    <rPh sb="42" eb="44">
      <t>ツイカ</t>
    </rPh>
    <phoneticPr fontId="1"/>
  </si>
  <si>
    <t>WARN</t>
  </si>
  <si>
    <t>進出者数が０人</t>
    <rPh sb="0" eb="2">
      <t>シンシュツ</t>
    </rPh>
    <rPh sb="2" eb="3">
      <t>シャ</t>
    </rPh>
    <rPh sb="3" eb="4">
      <t>スウ</t>
    </rPh>
    <rPh sb="6" eb="7">
      <t>ニン</t>
    </rPh>
    <phoneticPr fontId="1"/>
  </si>
  <si>
    <t>進出者数が0人でした。
ラウンドを一つ前のラウンドに設定して再度実行してください。</t>
    <rPh sb="0" eb="2">
      <t>シンシュツ</t>
    </rPh>
    <rPh sb="2" eb="3">
      <t>シャ</t>
    </rPh>
    <rPh sb="3" eb="4">
      <t>スウ</t>
    </rPh>
    <rPh sb="6" eb="7">
      <t>ニン</t>
    </rPh>
    <rPh sb="17" eb="18">
      <t>ヒト</t>
    </rPh>
    <rPh sb="19" eb="20">
      <t>マエ</t>
    </rPh>
    <rPh sb="26" eb="28">
      <t>セッテイ</t>
    </rPh>
    <rPh sb="30" eb="32">
      <t>サイド</t>
    </rPh>
    <rPh sb="32" eb="34">
      <t>ジッコウ</t>
    </rPh>
    <phoneticPr fontId="1"/>
  </si>
  <si>
    <t>● 組別情報</t>
    <rPh sb="2" eb="3">
      <t>クミ</t>
    </rPh>
    <rPh sb="3" eb="4">
      <t>ベツ</t>
    </rPh>
    <rPh sb="4" eb="6">
      <t>ジョウホウ</t>
    </rPh>
    <phoneticPr fontId="1"/>
  </si>
  <si>
    <t>● 選手別サブ情報</t>
    <rPh sb="2" eb="4">
      <t>センシュ</t>
    </rPh>
    <rPh sb="4" eb="5">
      <t>ベツ</t>
    </rPh>
    <rPh sb="7" eb="9">
      <t>ジョウホウ</t>
    </rPh>
    <phoneticPr fontId="1"/>
  </si>
  <si>
    <t>枝番号</t>
    <rPh sb="0" eb="1">
      <t>エダ</t>
    </rPh>
    <rPh sb="1" eb="3">
      <t>バンゴウ</t>
    </rPh>
    <phoneticPr fontId="1"/>
  </si>
  <si>
    <t>時間</t>
    <rPh sb="0" eb="2">
      <t>ジカン</t>
    </rPh>
    <phoneticPr fontId="1"/>
  </si>
  <si>
    <t>コメント</t>
    <phoneticPr fontId="1"/>
  </si>
  <si>
    <t>最終更新日時</t>
    <rPh sb="0" eb="2">
      <t>サイシュウ</t>
    </rPh>
    <rPh sb="2" eb="4">
      <t>コウシン</t>
    </rPh>
    <rPh sb="4" eb="6">
      <t>ニチジ</t>
    </rPh>
    <phoneticPr fontId="1"/>
  </si>
  <si>
    <t>リザルト出力完了</t>
    <rPh sb="4" eb="6">
      <t>シュツリョク</t>
    </rPh>
    <rPh sb="6" eb="8">
      <t>カンリョウ</t>
    </rPh>
    <phoneticPr fontId="1"/>
  </si>
  <si>
    <t>なし</t>
  </si>
  <si>
    <t>D731086D-5210-4C39-8607D361AF4692D7</t>
    <phoneticPr fontId="1"/>
  </si>
  <si>
    <t>9E05D420-69EC-4CA9-B368F39E56609848</t>
    <phoneticPr fontId="1"/>
  </si>
  <si>
    <t>7DD479A2-8B80-4998-90BCA833366BF6DD</t>
    <phoneticPr fontId="1"/>
  </si>
  <si>
    <t>ラウンド: {0} の順位を登録しました。</t>
    <rPh sb="11" eb="13">
      <t>ジュンイ</t>
    </rPh>
    <rPh sb="14" eb="16">
      <t>トウロク</t>
    </rPh>
    <phoneticPr fontId="1"/>
  </si>
  <si>
    <t>スタートリスト出力完了</t>
    <rPh sb="7" eb="9">
      <t>シュツリョク</t>
    </rPh>
    <rPh sb="9" eb="11">
      <t>カンリョウ</t>
    </rPh>
    <phoneticPr fontId="1"/>
  </si>
  <si>
    <t>リザルト登録完了</t>
    <rPh sb="4" eb="6">
      <t>トウロク</t>
    </rPh>
    <rPh sb="6" eb="8">
      <t>カンリョウ</t>
    </rPh>
    <phoneticPr fontId="1"/>
  </si>
  <si>
    <t>{0} {1} 組の結果を登録しました,</t>
    <rPh sb="8" eb="9">
      <t>クミ</t>
    </rPh>
    <rPh sb="10" eb="12">
      <t>ケッカ</t>
    </rPh>
    <rPh sb="13" eb="15">
      <t>トウロク</t>
    </rPh>
    <phoneticPr fontId="1"/>
  </si>
  <si>
    <t>{0} スタートリストを出力しました。</t>
    <rPh sb="12" eb="14">
      <t>シュツリョク</t>
    </rPh>
    <phoneticPr fontId="1"/>
  </si>
  <si>
    <t>ランキング出力完了</t>
    <rPh sb="5" eb="7">
      <t>シュツリョク</t>
    </rPh>
    <rPh sb="7" eb="9">
      <t>カンリョウ</t>
    </rPh>
    <phoneticPr fontId="1"/>
  </si>
  <si>
    <t>{0} ランキングリストを出力しました。</t>
    <rPh sb="13" eb="15">
      <t>シュツリョク</t>
    </rPh>
    <phoneticPr fontId="1"/>
  </si>
  <si>
    <t>{0} 結果表を出力しました。</t>
    <rPh sb="4" eb="6">
      <t>ケッカ</t>
    </rPh>
    <rPh sb="6" eb="7">
      <t>ヒョウ</t>
    </rPh>
    <rPh sb="8" eb="10">
      <t>シュツリョク</t>
    </rPh>
    <phoneticPr fontId="1"/>
  </si>
  <si>
    <t>5,4,6,3</t>
  </si>
  <si>
    <t>7,8</t>
  </si>
  <si>
    <t>2,1</t>
  </si>
  <si>
    <t>ラウンド名重複</t>
    <rPh sb="4" eb="5">
      <t>メイ</t>
    </rPh>
    <rPh sb="5" eb="7">
      <t>チョウフク</t>
    </rPh>
    <phoneticPr fontId="1"/>
  </si>
  <si>
    <t>以下のラウンド名が重複しています。
ラウンド名は重複がないようにしてください。
ラウンド: {0}</t>
    <rPh sb="0" eb="2">
      <t>イカ</t>
    </rPh>
    <rPh sb="7" eb="8">
      <t>メイ</t>
    </rPh>
    <rPh sb="9" eb="11">
      <t>チョウフク</t>
    </rPh>
    <rPh sb="22" eb="23">
      <t>メイ</t>
    </rPh>
    <rPh sb="24" eb="26">
      <t>チョウフク</t>
    </rPh>
    <phoneticPr fontId="1"/>
  </si>
  <si>
    <t>チームID</t>
    <phoneticPr fontId="1"/>
  </si>
  <si>
    <t>資格記録３</t>
  </si>
  <si>
    <t>個人登録番号</t>
    <rPh sb="0" eb="2">
      <t>コジン</t>
    </rPh>
    <rPh sb="2" eb="4">
      <t>トウロク</t>
    </rPh>
    <rPh sb="4" eb="6">
      <t>バンゴウ</t>
    </rPh>
    <phoneticPr fontId="1"/>
  </si>
  <si>
    <t>氏名
（カナ）</t>
    <rPh sb="0" eb="2">
      <t>シメイ</t>
    </rPh>
    <phoneticPr fontId="1"/>
  </si>
  <si>
    <t>氏名
(ラテン表記)</t>
    <rPh sb="0" eb="2">
      <t>シメイ</t>
    </rPh>
    <rPh sb="7" eb="9">
      <t>ヒョウキ</t>
    </rPh>
    <phoneticPr fontId="1"/>
  </si>
  <si>
    <t>所属チーム</t>
    <rPh sb="0" eb="2">
      <t>ショゾク</t>
    </rPh>
    <phoneticPr fontId="1"/>
  </si>
  <si>
    <t>資格記録１</t>
    <rPh sb="0" eb="2">
      <t>シカク</t>
    </rPh>
    <rPh sb="3" eb="5">
      <t>キロク</t>
    </rPh>
    <phoneticPr fontId="1"/>
  </si>
  <si>
    <t>資格
順位</t>
    <rPh sb="0" eb="2">
      <t>シカク</t>
    </rPh>
    <rPh sb="3" eb="5">
      <t>ジュンイ</t>
    </rPh>
    <phoneticPr fontId="1"/>
  </si>
  <si>
    <t>ｵｰﾌﾟﾝ
参加</t>
    <rPh sb="6" eb="8">
      <t>サンカ</t>
    </rPh>
    <phoneticPr fontId="1"/>
  </si>
  <si>
    <t>競技会名</t>
  </si>
  <si>
    <t>競技会コード</t>
  </si>
  <si>
    <t>競技場</t>
  </si>
  <si>
    <t>競技場コード</t>
  </si>
  <si>
    <t>開催都道府県</t>
  </si>
  <si>
    <t>開催年</t>
  </si>
  <si>
    <t>開催期間</t>
  </si>
  <si>
    <t>競技実施月日</t>
  </si>
  <si>
    <t>競技開始時間</t>
  </si>
  <si>
    <t>クラス（○○の部）</t>
  </si>
  <si>
    <t>性別</t>
  </si>
  <si>
    <t>種目</t>
  </si>
  <si>
    <t>ハードルの規格</t>
  </si>
  <si>
    <t>ラウンド（予選など）</t>
  </si>
  <si>
    <t>ラウンド通過条件</t>
  </si>
  <si>
    <t>組</t>
  </si>
  <si>
    <t>レーン／試技順</t>
  </si>
  <si>
    <t>順位</t>
  </si>
  <si>
    <t>ナンバー</t>
  </si>
  <si>
    <t>選手名／チーム名</t>
  </si>
  <si>
    <t>国籍</t>
  </si>
  <si>
    <t>氏名フリガナ</t>
  </si>
  <si>
    <t>所属</t>
  </si>
  <si>
    <t>氏名アルファベット</t>
  </si>
  <si>
    <t>学年</t>
  </si>
  <si>
    <t>登録都道府県</t>
  </si>
  <si>
    <t>記録</t>
  </si>
  <si>
    <t>新記録（大会新など）</t>
  </si>
  <si>
    <t>風速</t>
  </si>
  <si>
    <t>ラウンド通過（Ｑ、ｑ等）</t>
  </si>
  <si>
    <t>備考</t>
  </si>
  <si>
    <t>生年月日</t>
  </si>
  <si>
    <t>リアクションタイム</t>
  </si>
  <si>
    <t>通過タイム：400ｍ</t>
  </si>
  <si>
    <t>通過タイム：800ｍ</t>
  </si>
  <si>
    <t>通過タイム：1000ｍ</t>
  </si>
  <si>
    <t>通過タイム：1200ｍ</t>
  </si>
  <si>
    <t>通過タイム：1600ｍ</t>
  </si>
  <si>
    <t>通過タイム：2000ｍ</t>
  </si>
  <si>
    <t>通過タイム：2400ｍ</t>
  </si>
  <si>
    <t>通過タイム：2800ｍ</t>
  </si>
  <si>
    <t>通過タイム：3000ｍ</t>
  </si>
  <si>
    <t>通過タイム：3200ｍ</t>
  </si>
  <si>
    <t>通過タイム：3600ｍ</t>
  </si>
  <si>
    <t>通過タイム：4000ｍ</t>
  </si>
  <si>
    <t>通過タイム：4400ｍ</t>
  </si>
  <si>
    <t>通過タイム：4800ｍ</t>
  </si>
  <si>
    <t>通過タイム：5000ｍ</t>
  </si>
  <si>
    <t>通過タイム：5200ｍ</t>
  </si>
  <si>
    <t>通過タイム：5600ｍ</t>
  </si>
  <si>
    <t>通過タイム：6000ｍ</t>
  </si>
  <si>
    <t>通過タイム：6400ｍ</t>
  </si>
  <si>
    <t>通過タイム：6800ｍ</t>
  </si>
  <si>
    <t>通過タイム：7000ｍ</t>
  </si>
  <si>
    <t>通過タイム：7200ｍ</t>
  </si>
  <si>
    <t>通過タイム：7600ｍ</t>
  </si>
  <si>
    <t>通過タイム：8000ｍ</t>
  </si>
  <si>
    <t>通過タイム：8400ｍ</t>
  </si>
  <si>
    <t>通過タイム：8800ｍ</t>
  </si>
  <si>
    <t>通過タイム：9000ｍ</t>
  </si>
  <si>
    <t>通過タイム：9200ｍ</t>
  </si>
  <si>
    <t>通過タイム：9600ｍ</t>
  </si>
  <si>
    <t>記録（0.001秒）</t>
  </si>
  <si>
    <t>○ CSV</t>
    <phoneticPr fontId="1"/>
  </si>
  <si>
    <t>CSV出力完了</t>
    <rPh sb="3" eb="5">
      <t>シュツリョク</t>
    </rPh>
    <rPh sb="5" eb="7">
      <t>カンリョウ</t>
    </rPh>
    <phoneticPr fontId="1"/>
  </si>
  <si>
    <t>CSVファイルが出力されました。</t>
    <rPh sb="8" eb="10">
      <t>シュツリョク</t>
    </rPh>
    <phoneticPr fontId="1"/>
  </si>
  <si>
    <t>エントリーデータ不明</t>
    <rPh sb="8" eb="10">
      <t>フメイ</t>
    </rPh>
    <phoneticPr fontId="1"/>
  </si>
  <si>
    <t>?</t>
  </si>
  <si>
    <t>100m</t>
  </si>
  <si>
    <t>あり</t>
  </si>
  <si>
    <t>オーダー重複</t>
    <rPh sb="4" eb="6">
      <t>チョウフク</t>
    </rPh>
    <phoneticPr fontId="1"/>
  </si>
  <si>
    <t>オーダーが重複しています。
入力内容を確認してください。
ラウンド: {0}, 組: {1}, Ord.: {2}</t>
    <rPh sb="5" eb="7">
      <t>チョウフク</t>
    </rPh>
    <rPh sb="14" eb="16">
      <t>ニュウリョク</t>
    </rPh>
    <rPh sb="16" eb="18">
      <t>ナイヨウ</t>
    </rPh>
    <rPh sb="19" eb="21">
      <t>カクニン</t>
    </rPh>
    <rPh sb="40" eb="41">
      <t>クミ</t>
    </rPh>
    <phoneticPr fontId="1"/>
  </si>
  <si>
    <t>対応するエントリーデータがありません。
ラウンド: {0}, 組: {1}, Ord.: {2}</t>
    <rPh sb="0" eb="2">
      <t>タイオウ</t>
    </rPh>
    <rPh sb="31" eb="32">
      <t>クミ</t>
    </rPh>
    <phoneticPr fontId="1"/>
  </si>
  <si>
    <t>女子</t>
  </si>
  <si>
    <t>4590</t>
  </si>
  <si>
    <t>ｾｷｵ ﾙｶ</t>
  </si>
  <si>
    <t>4592</t>
  </si>
  <si>
    <t>ｵｸﾉ ﾘﾉ</t>
  </si>
  <si>
    <t>4589</t>
  </si>
  <si>
    <t>ｼﾅｶﾞﾜ ｻﾔ</t>
  </si>
  <si>
    <t>4522</t>
  </si>
  <si>
    <t>ｲﾜﾓﾄ ｱﾕｶ</t>
  </si>
  <si>
    <t>4581</t>
  </si>
  <si>
    <t>ﾑﾗﾀ ｱｷ</t>
  </si>
  <si>
    <t>8174</t>
  </si>
  <si>
    <t>ﾌｼﾞｵｶ ﾂｷﾐ</t>
  </si>
  <si>
    <t>8173</t>
  </si>
  <si>
    <t>ﾋﾉ ﾕｲｶ</t>
  </si>
  <si>
    <t>8171</t>
  </si>
  <si>
    <t>ﾓﾘﾅｶﾞ ﾊﾂﾞｷ</t>
  </si>
  <si>
    <t>8184</t>
  </si>
  <si>
    <t>ﾐｷﾄﾞ ｱｵｲ</t>
  </si>
  <si>
    <t>8176</t>
  </si>
  <si>
    <t>ﾓﾄﾔﾏ ｻｷ</t>
  </si>
  <si>
    <t>8131</t>
  </si>
  <si>
    <t>ﾋﾉ ﾐｻｷ</t>
  </si>
  <si>
    <t>3044</t>
  </si>
  <si>
    <t>ﾎｿﾀﾞ ﾅﾅﾐ</t>
  </si>
  <si>
    <t>14694</t>
  </si>
  <si>
    <t>ｶｹﾞﾔﾏ ﾕｲ</t>
  </si>
  <si>
    <t>14600</t>
  </si>
  <si>
    <t>ﾐｽﾞﾉ ﾕｲｶ</t>
  </si>
  <si>
    <t>磯松中</t>
  </si>
  <si>
    <t>広　島</t>
  </si>
  <si>
    <t>八本松中</t>
  </si>
  <si>
    <t>B7113EDA-D006-4BA1-A6B809154C48B534</t>
    <phoneticPr fontId="1"/>
  </si>
  <si>
    <t>関尾　流伽</t>
  </si>
  <si>
    <t>D6696EFB-8FA3-410E-9978EDCF79FE583F</t>
    <phoneticPr fontId="1"/>
  </si>
  <si>
    <t>奥野　吏乃</t>
  </si>
  <si>
    <t>A0AAF9C9-6B54-49A3-ABF5CA7535CFED54</t>
    <phoneticPr fontId="1"/>
  </si>
  <si>
    <t>品川　沙弥</t>
  </si>
  <si>
    <t>2D3103EF-1BC0-4B7A-8EE0EF4274AFB00B</t>
    <phoneticPr fontId="1"/>
  </si>
  <si>
    <t>岩本　歩佳</t>
  </si>
  <si>
    <t>西条中</t>
  </si>
  <si>
    <t>5080EBAA-F90D-4724-9739B5CE4236E2C3</t>
    <phoneticPr fontId="1"/>
  </si>
  <si>
    <t>村田　亜樹</t>
  </si>
  <si>
    <t>E2B7A1C9-28A1-4299-B62B900A59933320</t>
    <phoneticPr fontId="1"/>
  </si>
  <si>
    <t>藤岡　月心</t>
  </si>
  <si>
    <t>口和中</t>
  </si>
  <si>
    <t>9AD903DA-81DB-4E61-B953BD3D2E29120B</t>
    <phoneticPr fontId="1"/>
  </si>
  <si>
    <t>日野　唯花</t>
  </si>
  <si>
    <t>98334731-E261-4F27-AB6DB0279793D53B</t>
    <phoneticPr fontId="1"/>
  </si>
  <si>
    <t>森永　葉月</t>
  </si>
  <si>
    <t>4FB07947-868B-419A-A6ACE60655DBEB73</t>
    <phoneticPr fontId="1"/>
  </si>
  <si>
    <t>幹戸　葵</t>
  </si>
  <si>
    <t>A6418A6B-3265-4A17-A3F7AEEFB0F946D5</t>
    <phoneticPr fontId="1"/>
  </si>
  <si>
    <t>本山　紗希</t>
  </si>
  <si>
    <t>DDDB4678-D36F-4307-A01242B28179683A</t>
    <phoneticPr fontId="1"/>
  </si>
  <si>
    <t>日野　光咲</t>
  </si>
  <si>
    <t>DEF3A92A-57F9-4764-A8612AC19070C3A1</t>
    <phoneticPr fontId="1"/>
  </si>
  <si>
    <t>細田　菜々美</t>
  </si>
  <si>
    <t>千代田中</t>
  </si>
  <si>
    <t>81051210-45DF-4B0C-BB2C41B4AE672544</t>
    <phoneticPr fontId="1"/>
  </si>
  <si>
    <t>影山　結衣</t>
  </si>
  <si>
    <t>4B70FA7B-2BE0-4833-A271C11EFB994604</t>
    <phoneticPr fontId="1"/>
  </si>
  <si>
    <t>水野　結衣果</t>
  </si>
  <si>
    <t>エントリーデータなし</t>
    <phoneticPr fontId="1"/>
  </si>
  <si>
    <t>選択した組にエントリーした選手がいません。
ラウンドと組、そしてエントリーシートの内容を確認して、
ラウンドと組を選択しなおしてください。</t>
    <rPh sb="0" eb="2">
      <t>センタク</t>
    </rPh>
    <rPh sb="4" eb="5">
      <t>クミ</t>
    </rPh>
    <rPh sb="13" eb="15">
      <t>センシュ</t>
    </rPh>
    <rPh sb="27" eb="28">
      <t>ク</t>
    </rPh>
    <rPh sb="41" eb="43">
      <t>ナイヨウ</t>
    </rPh>
    <rPh sb="44" eb="46">
      <t>カクニン</t>
    </rPh>
    <rPh sb="55" eb="56">
      <t>ク</t>
    </rPh>
    <rPh sb="57" eb="59">
      <t>センタク</t>
    </rPh>
    <phoneticPr fontId="1"/>
  </si>
  <si>
    <t>対象区分</t>
    <rPh sb="0" eb="2">
      <t>タイショウ</t>
    </rPh>
    <rPh sb="2" eb="4">
      <t>クブン</t>
    </rPh>
    <phoneticPr fontId="1"/>
  </si>
  <si>
    <t>種目ID</t>
    <rPh sb="0" eb="2">
      <t>シュモク</t>
    </rPh>
    <phoneticPr fontId="1"/>
  </si>
  <si>
    <t>対象ラウンド未選択</t>
    <rPh sb="0" eb="2">
      <t>タイショウ</t>
    </rPh>
    <rPh sb="6" eb="7">
      <t>ミ</t>
    </rPh>
    <rPh sb="7" eb="9">
      <t>センタク</t>
    </rPh>
    <phoneticPr fontId="1"/>
  </si>
  <si>
    <t>番組編成を行うラウンドが選択されていません。
番組編成を行う対象ラウンドを選択してください。</t>
    <rPh sb="0" eb="2">
      <t>バングミ</t>
    </rPh>
    <rPh sb="2" eb="4">
      <t>ヘンセイ</t>
    </rPh>
    <rPh sb="5" eb="6">
      <t>オコナ</t>
    </rPh>
    <rPh sb="12" eb="14">
      <t>センタク</t>
    </rPh>
    <rPh sb="23" eb="25">
      <t>バングミ</t>
    </rPh>
    <rPh sb="25" eb="27">
      <t>ヘンセイ</t>
    </rPh>
    <rPh sb="28" eb="29">
      <t>オコナ</t>
    </rPh>
    <rPh sb="30" eb="32">
      <t>タイショウ</t>
    </rPh>
    <rPh sb="37" eb="39">
      <t>センタク</t>
    </rPh>
    <phoneticPr fontId="1"/>
  </si>
  <si>
    <t>生年月日</t>
    <rPh sb="0" eb="2">
      <t>セイネン</t>
    </rPh>
    <rPh sb="2" eb="4">
      <t>ガッピ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</si>
</sst>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\ hh:mm"/>
    <numFmt numFmtId="177" formatCode=";;;"/>
    <numFmt numFmtId="178" formatCode="yyyy/m/d;@"/>
  </numFmts>
  <fonts count="8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b/>
      <sz val="11"/>
      <color theme="1"/>
      <name val="ＭＳ 明朝"/>
      <family val="1"/>
      <charset val="128"/>
    </font>
    <font>
      <sz val="9"/>
      <name val="ＭＳ ゴシック"/>
      <family val="3"/>
      <charset val="128"/>
    </font>
    <font>
      <b/>
      <sz val="24"/>
      <color theme="1"/>
      <name val="ＭＳ 明朝"/>
      <family val="1"/>
      <charset val="128"/>
    </font>
    <font>
      <b/>
      <u/>
      <sz val="11"/>
      <color theme="1"/>
      <name val="ＭＳ 明朝"/>
      <family val="1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 diagonalDown="1"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 style="thin">
        <color auto="1"/>
      </diagonal>
    </border>
    <border diagonalDown="1"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 style="thin">
        <color auto="1"/>
      </diagonal>
    </border>
    <border diagonalDown="1"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indexed="64"/>
      </top>
      <bottom/>
      <diagonal/>
    </border>
    <border>
      <left style="thin">
        <color auto="1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1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49" fontId="0" fillId="3" borderId="0" xfId="0" applyNumberFormat="1" applyFill="1">
      <alignment vertical="center"/>
    </xf>
    <xf numFmtId="0" fontId="0" fillId="4" borderId="1" xfId="0" applyFill="1" applyBorder="1">
      <alignment vertical="center"/>
    </xf>
    <xf numFmtId="0" fontId="0" fillId="0" borderId="1" xfId="0" applyBorder="1">
      <alignment vertical="center"/>
    </xf>
    <xf numFmtId="0" fontId="0" fillId="4" borderId="2" xfId="0" applyFill="1" applyBorder="1">
      <alignment vertical="center"/>
    </xf>
    <xf numFmtId="0" fontId="0" fillId="0" borderId="2" xfId="0" applyBorder="1">
      <alignment vertical="center"/>
    </xf>
    <xf numFmtId="0" fontId="0" fillId="4" borderId="2" xfId="0" applyFill="1" applyBorder="1" applyAlignment="1">
      <alignment horizontal="left" vertical="center" indent="1"/>
    </xf>
    <xf numFmtId="0" fontId="0" fillId="5" borderId="2" xfId="0" applyFill="1" applyBorder="1">
      <alignment vertical="center"/>
    </xf>
    <xf numFmtId="0" fontId="0" fillId="4" borderId="3" xfId="0" applyFill="1" applyBorder="1" applyAlignment="1">
      <alignment horizontal="left" vertical="center" indent="1"/>
    </xf>
    <xf numFmtId="0" fontId="0" fillId="5" borderId="3" xfId="0" applyFill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4" borderId="10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13" xfId="0" applyFill="1" applyBorder="1">
      <alignment vertical="center"/>
    </xf>
    <xf numFmtId="0" fontId="0" fillId="5" borderId="15" xfId="0" applyFill="1" applyBorder="1">
      <alignment vertical="center"/>
    </xf>
    <xf numFmtId="0" fontId="0" fillId="5" borderId="1" xfId="0" applyFill="1" applyBorder="1">
      <alignment vertical="center"/>
    </xf>
    <xf numFmtId="0" fontId="0" fillId="5" borderId="9" xfId="0" applyFill="1" applyBorder="1">
      <alignment vertical="center"/>
    </xf>
    <xf numFmtId="0" fontId="0" fillId="0" borderId="1" xfId="0" applyBorder="1" applyAlignment="1">
      <alignment vertical="top" wrapText="1"/>
    </xf>
    <xf numFmtId="0" fontId="0" fillId="0" borderId="7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4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0" fontId="0" fillId="0" borderId="22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0" xfId="0" applyAlignment="1">
      <alignment horizontal="left" vertical="center"/>
    </xf>
    <xf numFmtId="0" fontId="0" fillId="4" borderId="1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0" fillId="4" borderId="3" xfId="0" applyFill="1" applyBorder="1" applyAlignment="1">
      <alignment horizontal="lef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>
      <alignment vertical="center"/>
    </xf>
    <xf numFmtId="49" fontId="0" fillId="0" borderId="3" xfId="0" applyNumberFormat="1" applyBorder="1">
      <alignment vertical="center"/>
    </xf>
    <xf numFmtId="0" fontId="0" fillId="4" borderId="17" xfId="0" applyFill="1" applyBorder="1" applyAlignment="1">
      <alignment horizontal="left" vertical="center"/>
    </xf>
    <xf numFmtId="0" fontId="0" fillId="0" borderId="23" xfId="0" applyBorder="1">
      <alignment vertical="center"/>
    </xf>
    <xf numFmtId="0" fontId="0" fillId="0" borderId="0" xfId="0" applyAlignment="1">
      <alignment horizontal="right"/>
    </xf>
    <xf numFmtId="0" fontId="0" fillId="0" borderId="24" xfId="0" applyBorder="1">
      <alignment vertical="center"/>
    </xf>
    <xf numFmtId="0" fontId="0" fillId="0" borderId="25" xfId="0" applyBorder="1">
      <alignment vertical="center"/>
    </xf>
    <xf numFmtId="49" fontId="0" fillId="0" borderId="25" xfId="0" applyNumberFormat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4" borderId="3" xfId="0" applyFill="1" applyBorder="1">
      <alignment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5" xfId="0" quotePrefix="1" applyBorder="1" applyAlignment="1">
      <alignment horizontal="center" vertical="center"/>
    </xf>
    <xf numFmtId="0" fontId="0" fillId="0" borderId="26" xfId="0" quotePrefix="1" applyBorder="1" applyAlignment="1">
      <alignment horizontal="center" vertical="center"/>
    </xf>
    <xf numFmtId="0" fontId="0" fillId="0" borderId="31" xfId="0" applyBorder="1">
      <alignment vertical="center"/>
    </xf>
    <xf numFmtId="0" fontId="0" fillId="4" borderId="7" xfId="0" applyFill="1" applyBorder="1">
      <alignment vertical="center"/>
    </xf>
    <xf numFmtId="0" fontId="0" fillId="4" borderId="14" xfId="0" applyFill="1" applyBorder="1">
      <alignment vertical="center"/>
    </xf>
    <xf numFmtId="0" fontId="0" fillId="4" borderId="32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14" xfId="0" applyFill="1" applyBorder="1">
      <alignment vertical="center"/>
    </xf>
    <xf numFmtId="0" fontId="0" fillId="5" borderId="32" xfId="0" applyFill="1" applyBorder="1">
      <alignment vertical="center"/>
    </xf>
    <xf numFmtId="0" fontId="0" fillId="5" borderId="33" xfId="0" applyFill="1" applyBorder="1">
      <alignment vertical="center"/>
    </xf>
    <xf numFmtId="0" fontId="0" fillId="0" borderId="34" xfId="0" applyBorder="1">
      <alignment vertical="center"/>
    </xf>
    <xf numFmtId="49" fontId="0" fillId="0" borderId="20" xfId="0" applyNumberFormat="1" applyBorder="1">
      <alignment vertical="center"/>
    </xf>
    <xf numFmtId="0" fontId="0" fillId="0" borderId="35" xfId="0" applyBorder="1">
      <alignment vertical="center"/>
    </xf>
    <xf numFmtId="22" fontId="0" fillId="0" borderId="0" xfId="0" applyNumberFormat="1">
      <alignment vertical="center"/>
    </xf>
    <xf numFmtId="47" fontId="0" fillId="0" borderId="0" xfId="0" quotePrefix="1" applyNumberFormat="1">
      <alignment vertical="center"/>
    </xf>
    <xf numFmtId="0" fontId="0" fillId="0" borderId="0" xfId="0" quotePrefix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0" xfId="0" applyBorder="1">
      <alignment vertical="center"/>
    </xf>
    <xf numFmtId="0" fontId="0" fillId="0" borderId="30" xfId="0" applyBorder="1" applyAlignment="1">
      <alignment horizontal="right" vertical="center"/>
    </xf>
    <xf numFmtId="0" fontId="0" fillId="0" borderId="36" xfId="0" applyBorder="1">
      <alignment vertical="center"/>
    </xf>
    <xf numFmtId="0" fontId="0" fillId="0" borderId="2" xfId="0" quotePrefix="1" applyBorder="1">
      <alignment vertical="center"/>
    </xf>
    <xf numFmtId="0" fontId="0" fillId="0" borderId="16" xfId="0" applyBorder="1">
      <alignment vertical="center"/>
    </xf>
    <xf numFmtId="0" fontId="0" fillId="0" borderId="26" xfId="0" applyBorder="1">
      <alignment vertical="center"/>
    </xf>
    <xf numFmtId="0" fontId="0" fillId="3" borderId="16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22" xfId="0" applyBorder="1" applyAlignment="1">
      <alignment horizontal="center" vertical="center"/>
    </xf>
    <xf numFmtId="0" fontId="4" fillId="4" borderId="41" xfId="0" applyFont="1" applyFill="1" applyBorder="1" applyAlignment="1">
      <alignment horizontal="center" vertical="top"/>
    </xf>
    <xf numFmtId="0" fontId="4" fillId="4" borderId="42" xfId="0" applyFont="1" applyFill="1" applyBorder="1" applyAlignment="1">
      <alignment horizontal="center" vertical="top"/>
    </xf>
    <xf numFmtId="0" fontId="4" fillId="4" borderId="42" xfId="0" applyFont="1" applyFill="1" applyBorder="1" applyAlignment="1">
      <alignment horizontal="center" vertical="top" wrapText="1"/>
    </xf>
    <xf numFmtId="0" fontId="4" fillId="4" borderId="43" xfId="0" applyFont="1" applyFill="1" applyBorder="1">
      <alignment vertical="center"/>
    </xf>
    <xf numFmtId="0" fontId="0" fillId="0" borderId="26" xfId="0" applyBorder="1" applyAlignment="1">
      <alignment horizontal="center"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39" xfId="0" applyBorder="1">
      <alignment vertical="center"/>
    </xf>
    <xf numFmtId="176" fontId="0" fillId="0" borderId="38" xfId="0" applyNumberFormat="1" applyBorder="1">
      <alignment vertical="center"/>
    </xf>
    <xf numFmtId="0" fontId="0" fillId="0" borderId="40" xfId="0" applyBorder="1">
      <alignment vertical="center"/>
    </xf>
    <xf numFmtId="56" fontId="0" fillId="5" borderId="3" xfId="0" applyNumberFormat="1" applyFill="1" applyBorder="1">
      <alignment vertical="center"/>
    </xf>
    <xf numFmtId="49" fontId="0" fillId="5" borderId="1" xfId="0" applyNumberFormat="1" applyFill="1" applyBorder="1">
      <alignment vertical="center"/>
    </xf>
    <xf numFmtId="49" fontId="0" fillId="5" borderId="1" xfId="0" quotePrefix="1" applyNumberFormat="1" applyFill="1" applyBorder="1">
      <alignment vertical="center"/>
    </xf>
    <xf numFmtId="49" fontId="0" fillId="5" borderId="2" xfId="0" applyNumberFormat="1" applyFill="1" applyBorder="1">
      <alignment vertical="center"/>
    </xf>
    <xf numFmtId="49" fontId="0" fillId="5" borderId="2" xfId="0" quotePrefix="1" applyNumberFormat="1" applyFill="1" applyBorder="1">
      <alignment vertical="center"/>
    </xf>
    <xf numFmtId="0" fontId="4" fillId="4" borderId="37" xfId="0" applyFont="1" applyFill="1" applyBorder="1" applyAlignment="1">
      <alignment horizontal="center" vertical="top"/>
    </xf>
    <xf numFmtId="0" fontId="4" fillId="4" borderId="38" xfId="0" applyFont="1" applyFill="1" applyBorder="1" applyAlignment="1">
      <alignment horizontal="center" vertical="top"/>
    </xf>
    <xf numFmtId="0" fontId="4" fillId="4" borderId="39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4" fillId="4" borderId="34" xfId="0" applyFont="1" applyFill="1" applyBorder="1" applyAlignment="1">
      <alignment horizontal="center" vertical="top"/>
    </xf>
    <xf numFmtId="0" fontId="4" fillId="4" borderId="44" xfId="0" applyFont="1" applyFill="1" applyBorder="1" applyAlignment="1">
      <alignment horizontal="center" vertical="top"/>
    </xf>
    <xf numFmtId="0" fontId="0" fillId="0" borderId="29" xfId="0" applyBorder="1">
      <alignment vertical="center"/>
    </xf>
    <xf numFmtId="0" fontId="0" fillId="0" borderId="45" xfId="0" applyBorder="1">
      <alignment vertical="center"/>
    </xf>
    <xf numFmtId="0" fontId="7" fillId="4" borderId="38" xfId="0" applyFont="1" applyFill="1" applyBorder="1" applyAlignment="1">
      <alignment horizontal="center" vertical="top"/>
    </xf>
    <xf numFmtId="178" fontId="0" fillId="0" borderId="25" xfId="0" applyNumberFormat="1" applyBorder="1">
      <alignment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2" xfId="0" applyBorder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55">
    <dxf>
      <border diagonalUp="0" diagonalDown="0">
        <left style="thin">
          <color auto="1"/>
        </left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indexed="64"/>
        </top>
        <bottom style="hair">
          <color indexed="64"/>
        </bottom>
      </border>
    </dxf>
    <dxf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indexed="64"/>
        </top>
        <bottom style="hair">
          <color indexed="64"/>
        </bottom>
        <vertical/>
        <horizontal/>
      </border>
    </dxf>
    <dxf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indexed="64"/>
        </top>
        <bottom style="hair">
          <color indexed="64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78" formatCode="yyyy/m/d;@"/>
      <border diagonalUp="0" diagonalDown="0">
        <left style="hair">
          <color auto="1"/>
        </left>
        <right style="hair">
          <color auto="1"/>
        </right>
        <top style="hair">
          <color indexed="64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indexed="64"/>
        </top>
        <bottom style="hair">
          <color indexed="64"/>
        </bottom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indexed="64"/>
        </bottom>
      </border>
    </dxf>
    <dxf>
      <font>
        <b/>
        <family val="1"/>
      </font>
      <fill>
        <patternFill patternType="solid">
          <fgColor indexed="64"/>
          <bgColor theme="7" tint="0.79998168889431442"/>
        </patternFill>
      </fill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/>
      </border>
    </dxf>
    <dxf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hair">
          <color auto="1"/>
        </top>
        <bottom style="hair">
          <color auto="1"/>
        </bottom>
        <vertical style="thin">
          <color auto="1"/>
        </vertical>
        <horizontal style="hair">
          <color auto="1"/>
        </horizontal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/>
        <top style="hair">
          <color auto="1"/>
        </top>
        <bottom/>
        <vertical/>
        <horizontal/>
      </border>
    </dxf>
    <dxf>
      <numFmt numFmtId="0" formatCode="General"/>
      <fill>
        <patternFill patternType="solid">
          <fgColor indexed="64"/>
          <bgColor theme="9" tint="0.79998168889431442"/>
        </patternFill>
      </fill>
      <border diagonalUp="0" diagonalDown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border diagonalUp="0" diagonalDown="0">
        <left style="hair">
          <color auto="1"/>
        </left>
        <right style="thin">
          <color auto="1"/>
        </right>
        <top style="hair">
          <color auto="1"/>
        </top>
        <bottom/>
        <vertical/>
        <horizontal/>
      </border>
    </dxf>
    <dxf>
      <border diagonalUp="0" diagonalDown="0">
        <left style="hair">
          <color auto="1"/>
        </left>
        <right/>
        <top style="hair">
          <color indexed="64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indexed="64"/>
        </top>
        <bottom/>
        <vertical/>
        <horizontal/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30" formatCode="@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auto="1"/>
        </bottom>
      </border>
    </dxf>
    <dxf>
      <font>
        <b/>
        <family val="1"/>
      </font>
      <fill>
        <patternFill patternType="solid">
          <fgColor indexed="64"/>
          <bgColor theme="7" tint="0.79998168889431442"/>
        </patternFill>
      </fill>
      <alignment horizontal="center" vertical="top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general" vertical="top" textRotation="0" wrapText="1" indent="0" justifyLastLine="0" shrinkToFit="0" readingOrder="0"/>
      <border diagonalUp="0" diagonalDown="0" outline="0">
        <left style="thin">
          <color auto="1"/>
        </left>
        <right/>
        <top style="hair">
          <color auto="1"/>
        </top>
        <bottom style="hair">
          <color auto="1"/>
        </bottom>
      </border>
    </dxf>
    <dxf>
      <alignment horizontal="general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8" tint="0.79998168889431442"/>
        </patternFill>
      </fill>
      <border diagonalUp="0" diagonalDown="0" outline="0">
        <left/>
        <right style="thin">
          <color auto="1"/>
        </right>
        <top style="hair">
          <color auto="1"/>
        </top>
        <bottom style="hair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ill>
        <patternFill patternType="solid">
          <fgColor indexed="64"/>
          <bgColor theme="7" tint="0.79998168889431442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123824</xdr:colOff>
      <xdr:row>1</xdr:row>
      <xdr:rowOff>0</xdr:rowOff>
    </xdr:from>
    <xdr:to>
      <xdr:col>64</xdr:col>
      <xdr:colOff>85725</xdr:colOff>
      <xdr:row>19</xdr:row>
      <xdr:rowOff>19050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1D1DE79F-A8D4-4EFB-9141-DD3E740AA23F}"/>
            </a:ext>
          </a:extLst>
        </xdr:cNvPr>
        <xdr:cNvSpPr/>
      </xdr:nvSpPr>
      <xdr:spPr>
        <a:xfrm>
          <a:off x="13154024" y="171450"/>
          <a:ext cx="4171951" cy="310515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【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参考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】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番組編成の設定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●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1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ラウンド目、救済ラウンド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[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全種目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]</a:t>
          </a:r>
        </a:p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・組の決め方    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: 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均等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(TR20.3.1)</a:t>
          </a:r>
        </a:p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・レーンの決め方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: 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ランダム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(TR20.4.1, TR20.4.5)</a:t>
          </a:r>
        </a:p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● 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2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ラウンド目以降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[800m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まで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]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・組の決め方     </a:t>
          </a:r>
          <a:r>
            <a:rPr kumimoji="1" lang="en-US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: </a:t>
          </a:r>
          <a:r>
            <a:rPr kumimoji="1" lang="ja-JP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均等 </a:t>
          </a:r>
          <a:r>
            <a:rPr kumimoji="1" lang="en-US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(TR20.3.2)</a:t>
          </a:r>
          <a:endParaRPr lang="ja-JP" altLang="ja-JP"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・レーンの決め方 </a:t>
          </a:r>
          <a:r>
            <a:rPr kumimoji="1" lang="en-US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: </a:t>
          </a:r>
          <a:r>
            <a:rPr kumimoji="1" lang="ja-JP" altLang="en-US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シードレーン</a:t>
          </a:r>
          <a:r>
            <a:rPr kumimoji="1" lang="ja-JP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 </a:t>
          </a:r>
          <a:r>
            <a:rPr kumimoji="1" lang="en-US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(TR20.4.2)</a:t>
          </a:r>
          <a:endParaRPr lang="ja-JP" altLang="ja-JP"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[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上記以外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]</a:t>
          </a: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・組の決め方     </a:t>
          </a:r>
          <a:r>
            <a:rPr kumimoji="1" lang="en-US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: </a:t>
          </a:r>
          <a:r>
            <a:rPr kumimoji="1" lang="ja-JP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均等 </a:t>
          </a:r>
          <a:r>
            <a:rPr kumimoji="1" lang="en-US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(TR20.3.2)</a:t>
          </a:r>
          <a:endParaRPr lang="ja-JP" altLang="ja-JP"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kumimoji="1" lang="ja-JP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・レーンの決め方 </a:t>
          </a:r>
          <a:r>
            <a:rPr kumimoji="1" lang="en-US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: </a:t>
          </a:r>
          <a:r>
            <a:rPr kumimoji="1" lang="ja-JP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ランダム </a:t>
          </a:r>
          <a:r>
            <a:rPr kumimoji="1" lang="en-US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(TR20.4.5)</a:t>
          </a:r>
          <a:endParaRPr lang="ja-JP" altLang="ja-JP"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695325</xdr:colOff>
      <xdr:row>0</xdr:row>
      <xdr:rowOff>95250</xdr:rowOff>
    </xdr:from>
    <xdr:to>
      <xdr:col>13</xdr:col>
      <xdr:colOff>542925</xdr:colOff>
      <xdr:row>1</xdr:row>
      <xdr:rowOff>76200</xdr:rowOff>
    </xdr:to>
    <xdr:sp macro="[0]!EntryListSheet.BtnWriteStartList_Clicked" textlink="">
      <xdr:nvSpPr>
        <xdr:cNvPr id="3" name="正方形/長方形 2">
          <a:extLst>
            <a:ext uri="{FF2B5EF4-FFF2-40B4-BE49-F238E27FC236}">
              <a16:creationId xmlns:a16="http://schemas.microsoft.com/office/drawing/2014/main" id="{A0DACC70-3672-4B07-BBB2-43CFD069AEFB}"/>
            </a:ext>
          </a:extLst>
        </xdr:cNvPr>
        <xdr:cNvSpPr/>
      </xdr:nvSpPr>
      <xdr:spPr>
        <a:xfrm>
          <a:off x="12296775" y="95250"/>
          <a:ext cx="13716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スタートリスト</a:t>
          </a:r>
        </a:p>
      </xdr:txBody>
    </xdr:sp>
    <xdr:clientData/>
  </xdr:twoCellAnchor>
  <xdr:twoCellAnchor editAs="absolute">
    <xdr:from>
      <xdr:col>13</xdr:col>
      <xdr:colOff>676275</xdr:colOff>
      <xdr:row>0</xdr:row>
      <xdr:rowOff>95250</xdr:rowOff>
    </xdr:from>
    <xdr:to>
      <xdr:col>16</xdr:col>
      <xdr:colOff>142875</xdr:colOff>
      <xdr:row>1</xdr:row>
      <xdr:rowOff>76800</xdr:rowOff>
    </xdr:to>
    <xdr:sp macro="[0]!EntryListSheet.BtnPickUpQualifiers_Clicked" textlink="">
      <xdr:nvSpPr>
        <xdr:cNvPr id="5" name="正方形/長方形 4">
          <a:extLst>
            <a:ext uri="{FF2B5EF4-FFF2-40B4-BE49-F238E27FC236}">
              <a16:creationId xmlns:a16="http://schemas.microsoft.com/office/drawing/2014/main" id="{02A66CAF-9FD3-45D9-B482-F9D1A04DFB1F}"/>
            </a:ext>
          </a:extLst>
        </xdr:cNvPr>
        <xdr:cNvSpPr/>
      </xdr:nvSpPr>
      <xdr:spPr>
        <a:xfrm>
          <a:off x="13801725" y="95250"/>
          <a:ext cx="1371600" cy="381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進出者追加</a:t>
          </a:r>
        </a:p>
      </xdr:txBody>
    </xdr:sp>
    <xdr:clientData/>
  </xdr:twoCellAnchor>
  <xdr:twoCellAnchor editAs="absolute">
    <xdr:from>
      <xdr:col>10</xdr:col>
      <xdr:colOff>114300</xdr:colOff>
      <xdr:row>0</xdr:row>
      <xdr:rowOff>95250</xdr:rowOff>
    </xdr:from>
    <xdr:to>
      <xdr:col>11</xdr:col>
      <xdr:colOff>561975</xdr:colOff>
      <xdr:row>1</xdr:row>
      <xdr:rowOff>76200</xdr:rowOff>
    </xdr:to>
    <xdr:sp macro="[0]!EntryListSheet.BtnProgramEntry_Clicked" textlink="">
      <xdr:nvSpPr>
        <xdr:cNvPr id="6" name="正方形/長方形 5">
          <a:extLst>
            <a:ext uri="{FF2B5EF4-FFF2-40B4-BE49-F238E27FC236}">
              <a16:creationId xmlns:a16="http://schemas.microsoft.com/office/drawing/2014/main" id="{FE047734-9209-48A2-8759-48B7D78D828E}"/>
            </a:ext>
          </a:extLst>
        </xdr:cNvPr>
        <xdr:cNvSpPr/>
      </xdr:nvSpPr>
      <xdr:spPr>
        <a:xfrm>
          <a:off x="10791825" y="95250"/>
          <a:ext cx="1371600" cy="381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番組編成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85725</xdr:colOff>
      <xdr:row>1</xdr:row>
      <xdr:rowOff>76200</xdr:rowOff>
    </xdr:from>
    <xdr:to>
      <xdr:col>9</xdr:col>
      <xdr:colOff>314325</xdr:colOff>
      <xdr:row>3</xdr:row>
      <xdr:rowOff>114900</xdr:rowOff>
    </xdr:to>
    <xdr:sp macro="[0]!ResultInputSheet.BtnGroupSelect_Clicked" textlink="">
      <xdr:nvSpPr>
        <xdr:cNvPr id="2" name="正方形/長方形 1">
          <a:extLst>
            <a:ext uri="{FF2B5EF4-FFF2-40B4-BE49-F238E27FC236}">
              <a16:creationId xmlns:a16="http://schemas.microsoft.com/office/drawing/2014/main" id="{2690DC9A-9993-28E4-0723-3E44114B7B57}"/>
            </a:ext>
          </a:extLst>
        </xdr:cNvPr>
        <xdr:cNvSpPr/>
      </xdr:nvSpPr>
      <xdr:spPr>
        <a:xfrm>
          <a:off x="3438525" y="247650"/>
          <a:ext cx="1371600" cy="381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組選択</a:t>
          </a:r>
        </a:p>
      </xdr:txBody>
    </xdr:sp>
    <xdr:clientData/>
  </xdr:twoCellAnchor>
  <xdr:twoCellAnchor editAs="absolute">
    <xdr:from>
      <xdr:col>11</xdr:col>
      <xdr:colOff>28575</xdr:colOff>
      <xdr:row>1</xdr:row>
      <xdr:rowOff>85725</xdr:rowOff>
    </xdr:from>
    <xdr:to>
      <xdr:col>13</xdr:col>
      <xdr:colOff>342900</xdr:colOff>
      <xdr:row>3</xdr:row>
      <xdr:rowOff>124425</xdr:rowOff>
    </xdr:to>
    <xdr:sp macro="[0]!ResultInputSheet.BtnRegisterResult_Clicked" textlink="">
      <xdr:nvSpPr>
        <xdr:cNvPr id="3" name="正方形/長方形 2">
          <a:extLst>
            <a:ext uri="{FF2B5EF4-FFF2-40B4-BE49-F238E27FC236}">
              <a16:creationId xmlns:a16="http://schemas.microsoft.com/office/drawing/2014/main" id="{45A567E3-AA0A-43AF-8D39-C18872E415CA}"/>
            </a:ext>
          </a:extLst>
        </xdr:cNvPr>
        <xdr:cNvSpPr/>
      </xdr:nvSpPr>
      <xdr:spPr>
        <a:xfrm>
          <a:off x="4943475" y="447675"/>
          <a:ext cx="1371600" cy="381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成績登録</a:t>
          </a:r>
        </a:p>
      </xdr:txBody>
    </xdr:sp>
    <xdr:clientData/>
  </xdr:twoCellAnchor>
  <xdr:twoCellAnchor editAs="absolute">
    <xdr:from>
      <xdr:col>13</xdr:col>
      <xdr:colOff>476250</xdr:colOff>
      <xdr:row>1</xdr:row>
      <xdr:rowOff>85725</xdr:rowOff>
    </xdr:from>
    <xdr:to>
      <xdr:col>15</xdr:col>
      <xdr:colOff>438150</xdr:colOff>
      <xdr:row>3</xdr:row>
      <xdr:rowOff>124425</xdr:rowOff>
    </xdr:to>
    <xdr:sp macro="[0]!ResultInputSheet.BtnRanking_Clicked" textlink="">
      <xdr:nvSpPr>
        <xdr:cNvPr id="4" name="正方形/長方形 3">
          <a:extLst>
            <a:ext uri="{FF2B5EF4-FFF2-40B4-BE49-F238E27FC236}">
              <a16:creationId xmlns:a16="http://schemas.microsoft.com/office/drawing/2014/main" id="{7939CAD9-3FBB-4140-ACE0-A3A94C3389C7}"/>
            </a:ext>
          </a:extLst>
        </xdr:cNvPr>
        <xdr:cNvSpPr/>
      </xdr:nvSpPr>
      <xdr:spPr>
        <a:xfrm>
          <a:off x="6448425" y="447675"/>
          <a:ext cx="1371600" cy="381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ランキング集計</a:t>
          </a:r>
        </a:p>
      </xdr:txBody>
    </xdr:sp>
    <xdr:clientData/>
  </xdr:twoCellAnchor>
  <xdr:twoCellAnchor editAs="absolute">
    <xdr:from>
      <xdr:col>16</xdr:col>
      <xdr:colOff>1019175</xdr:colOff>
      <xdr:row>1</xdr:row>
      <xdr:rowOff>95250</xdr:rowOff>
    </xdr:from>
    <xdr:to>
      <xdr:col>17</xdr:col>
      <xdr:colOff>1362075</xdr:colOff>
      <xdr:row>3</xdr:row>
      <xdr:rowOff>133950</xdr:rowOff>
    </xdr:to>
    <xdr:sp macro="[0]!ResultInputSheet.BtnResultList_Clicked" textlink="">
      <xdr:nvSpPr>
        <xdr:cNvPr id="5" name="正方形/長方形 4">
          <a:extLst>
            <a:ext uri="{FF2B5EF4-FFF2-40B4-BE49-F238E27FC236}">
              <a16:creationId xmlns:a16="http://schemas.microsoft.com/office/drawing/2014/main" id="{7C9ECBDB-C541-4FF0-B0A2-2B3234802684}"/>
            </a:ext>
          </a:extLst>
        </xdr:cNvPr>
        <xdr:cNvSpPr/>
      </xdr:nvSpPr>
      <xdr:spPr>
        <a:xfrm>
          <a:off x="10420350" y="457200"/>
          <a:ext cx="1371600" cy="381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結果表出力</a:t>
          </a:r>
        </a:p>
      </xdr:txBody>
    </xdr:sp>
    <xdr:clientData/>
  </xdr:twoCellAnchor>
  <xdr:twoCellAnchor editAs="absolute">
    <xdr:from>
      <xdr:col>15</xdr:col>
      <xdr:colOff>571500</xdr:colOff>
      <xdr:row>1</xdr:row>
      <xdr:rowOff>85725</xdr:rowOff>
    </xdr:from>
    <xdr:to>
      <xdr:col>16</xdr:col>
      <xdr:colOff>914400</xdr:colOff>
      <xdr:row>3</xdr:row>
      <xdr:rowOff>124425</xdr:rowOff>
    </xdr:to>
    <xdr:sp macro="[0]!ResultInputSheet.BtnRankingList_Clicked" textlink="">
      <xdr:nvSpPr>
        <xdr:cNvPr id="6" name="正方形/長方形 5">
          <a:extLst>
            <a:ext uri="{FF2B5EF4-FFF2-40B4-BE49-F238E27FC236}">
              <a16:creationId xmlns:a16="http://schemas.microsoft.com/office/drawing/2014/main" id="{D53C67B9-7146-4A91-9220-3A6D7D5AA650}"/>
            </a:ext>
          </a:extLst>
        </xdr:cNvPr>
        <xdr:cNvSpPr/>
      </xdr:nvSpPr>
      <xdr:spPr>
        <a:xfrm>
          <a:off x="8943975" y="447675"/>
          <a:ext cx="1371600" cy="381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ランキング出力</a:t>
          </a:r>
        </a:p>
      </xdr:txBody>
    </xdr:sp>
    <xdr:clientData/>
  </xdr:twoCellAnchor>
  <xdr:twoCellAnchor editAs="absolute">
    <xdr:from>
      <xdr:col>18</xdr:col>
      <xdr:colOff>0</xdr:colOff>
      <xdr:row>1</xdr:row>
      <xdr:rowOff>85725</xdr:rowOff>
    </xdr:from>
    <xdr:to>
      <xdr:col>20</xdr:col>
      <xdr:colOff>342900</xdr:colOff>
      <xdr:row>3</xdr:row>
      <xdr:rowOff>124425</xdr:rowOff>
    </xdr:to>
    <xdr:sp macro="[0]!ResultInputSheet.BtnCsvReport_Clicked" textlink="">
      <xdr:nvSpPr>
        <xdr:cNvPr id="7" name="正方形/長方形 6">
          <a:extLst>
            <a:ext uri="{FF2B5EF4-FFF2-40B4-BE49-F238E27FC236}">
              <a16:creationId xmlns:a16="http://schemas.microsoft.com/office/drawing/2014/main" id="{E5B41259-FD0C-42F2-9D3B-9B635FAAB14B}"/>
            </a:ext>
          </a:extLst>
        </xdr:cNvPr>
        <xdr:cNvSpPr/>
      </xdr:nvSpPr>
      <xdr:spPr>
        <a:xfrm>
          <a:off x="12125325" y="447675"/>
          <a:ext cx="1371600" cy="381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CSV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出力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1</xdr:row>
      <xdr:rowOff>0</xdr:rowOff>
    </xdr:from>
    <xdr:to>
      <xdr:col>9</xdr:col>
      <xdr:colOff>342900</xdr:colOff>
      <xdr:row>3</xdr:row>
      <xdr:rowOff>38700</xdr:rowOff>
    </xdr:to>
    <xdr:sp macro="[0]!QualifierRotterySheet.BtnQualifyAllClicked" textlink="">
      <xdr:nvSpPr>
        <xdr:cNvPr id="2" name="正方形/長方形 1">
          <a:extLst>
            <a:ext uri="{FF2B5EF4-FFF2-40B4-BE49-F238E27FC236}">
              <a16:creationId xmlns:a16="http://schemas.microsoft.com/office/drawing/2014/main" id="{66D98DFB-30C0-4D35-B6E9-238AD4B3C998}"/>
            </a:ext>
          </a:extLst>
        </xdr:cNvPr>
        <xdr:cNvSpPr/>
      </xdr:nvSpPr>
      <xdr:spPr>
        <a:xfrm>
          <a:off x="3733800" y="361950"/>
          <a:ext cx="1371600" cy="381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全員進出</a:t>
          </a:r>
        </a:p>
      </xdr:txBody>
    </xdr:sp>
    <xdr:clientData/>
  </xdr:twoCellAnchor>
  <xdr:twoCellAnchor editAs="absolute">
    <xdr:from>
      <xdr:col>10</xdr:col>
      <xdr:colOff>95250</xdr:colOff>
      <xdr:row>1</xdr:row>
      <xdr:rowOff>0</xdr:rowOff>
    </xdr:from>
    <xdr:to>
      <xdr:col>11</xdr:col>
      <xdr:colOff>438150</xdr:colOff>
      <xdr:row>3</xdr:row>
      <xdr:rowOff>38700</xdr:rowOff>
    </xdr:to>
    <xdr:sp macro="[0]!QualifierRotterySheet.BtnQualifyClicked" textlink="">
      <xdr:nvSpPr>
        <xdr:cNvPr id="3" name="正方形/長方形 2">
          <a:extLst>
            <a:ext uri="{FF2B5EF4-FFF2-40B4-BE49-F238E27FC236}">
              <a16:creationId xmlns:a16="http://schemas.microsoft.com/office/drawing/2014/main" id="{2665DC0A-900E-4055-90F0-A709D177D71F}"/>
            </a:ext>
          </a:extLst>
        </xdr:cNvPr>
        <xdr:cNvSpPr/>
      </xdr:nvSpPr>
      <xdr:spPr>
        <a:xfrm>
          <a:off x="5238750" y="361950"/>
          <a:ext cx="1371600" cy="3816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進出者決定</a:t>
          </a:r>
        </a:p>
      </xdr:txBody>
    </xdr:sp>
    <xdr:clientData/>
  </xdr:twoCellAnchor>
  <xdr:twoCellAnchor editAs="absolute">
    <xdr:from>
      <xdr:col>12</xdr:col>
      <xdr:colOff>19050</xdr:colOff>
      <xdr:row>0</xdr:row>
      <xdr:rowOff>28575</xdr:rowOff>
    </xdr:from>
    <xdr:to>
      <xdr:col>19</xdr:col>
      <xdr:colOff>333375</xdr:colOff>
      <xdr:row>8</xdr:row>
      <xdr:rowOff>47625</xdr:rowOff>
    </xdr:to>
    <xdr:sp macro="" textlink="">
      <xdr:nvSpPr>
        <xdr:cNvPr id="4" name="正方形/長方形 3">
          <a:extLst>
            <a:ext uri="{FF2B5EF4-FFF2-40B4-BE49-F238E27FC236}">
              <a16:creationId xmlns:a16="http://schemas.microsoft.com/office/drawing/2014/main" id="{383001C0-73B8-1E94-0828-A03CDA407D1D}"/>
            </a:ext>
          </a:extLst>
        </xdr:cNvPr>
        <xdr:cNvSpPr/>
      </xdr:nvSpPr>
      <xdr:spPr>
        <a:xfrm>
          <a:off x="7219950" y="28575"/>
          <a:ext cx="4657725" cy="1581150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【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参考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: 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選手の抽選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(TR21.3, TR21.5)】</a:t>
          </a:r>
        </a:p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次ラウンド進出候補者のうち、最後の１枠に同成績がある場合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:</a:t>
          </a:r>
        </a:p>
        <a:p>
          <a:pPr algn="l"/>
          <a:r>
            <a:rPr lang="en-US" altLang="ja-JP" baseline="0">
              <a:latin typeface="Meiryo UI" panose="020B0604030504040204" pitchFamily="50" charset="-128"/>
              <a:ea typeface="Meiryo UI" panose="020B0604030504040204" pitchFamily="50" charset="-128"/>
            </a:rPr>
            <a:t>    </a:t>
          </a:r>
          <a:r>
            <a:rPr lang="ja-JP" altLang="en-US">
              <a:latin typeface="Meiryo UI" panose="020B0604030504040204" pitchFamily="50" charset="-128"/>
              <a:ea typeface="Meiryo UI" panose="020B0604030504040204" pitchFamily="50" charset="-128"/>
            </a:rPr>
            <a:t>空きレーンまたは、走る場所がある</a:t>
          </a:r>
          <a:br>
            <a:rPr lang="en-US" altLang="ja-JP">
              <a:latin typeface="Meiryo UI" panose="020B0604030504040204" pitchFamily="50" charset="-128"/>
              <a:ea typeface="Meiryo UI" panose="020B0604030504040204" pitchFamily="50" charset="-128"/>
            </a:rPr>
          </a:br>
          <a:r>
            <a:rPr lang="en-US" altLang="ja-JP">
              <a:latin typeface="Meiryo UI" panose="020B0604030504040204" pitchFamily="50" charset="-128"/>
              <a:ea typeface="Meiryo UI" panose="020B0604030504040204" pitchFamily="50" charset="-128"/>
            </a:rPr>
            <a:t>    </a:t>
          </a:r>
          <a:r>
            <a:rPr lang="ja-JP" altLang="en-US">
              <a:latin typeface="Meiryo UI" panose="020B0604030504040204" pitchFamily="50" charset="-128"/>
              <a:ea typeface="Meiryo UI" panose="020B0604030504040204" pitchFamily="50" charset="-128"/>
            </a:rPr>
            <a:t>（</a:t>
          </a:r>
          <a:r>
            <a:rPr lang="en-US" altLang="ja-JP">
              <a:latin typeface="Meiryo UI" panose="020B0604030504040204" pitchFamily="50" charset="-128"/>
              <a:ea typeface="Meiryo UI" panose="020B0604030504040204" pitchFamily="50" charset="-128"/>
            </a:rPr>
            <a:t>800</a:t>
          </a:r>
          <a:r>
            <a:rPr lang="ja-JP" altLang="en-US">
              <a:latin typeface="Meiryo UI" panose="020B0604030504040204" pitchFamily="50" charset="-128"/>
              <a:ea typeface="Meiryo UI" panose="020B0604030504040204" pitchFamily="50" charset="-128"/>
            </a:rPr>
            <a:t>ｍ競走でレーンに複数割り当てる場合を含む）</a:t>
          </a:r>
          <a:endParaRPr lang="en-US" altLang="ja-JP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                → 全員を次ラウンドへ進出させる。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r>
            <a:rPr lang="en-US" altLang="ja-JP" sz="1100" baseline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    </a:t>
          </a:r>
          <a:r>
            <a:rPr lang="ja-JP" altLang="en-US" sz="1100" baseline="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上記以外</a:t>
          </a:r>
          <a:r>
            <a:rPr kumimoji="1" lang="ja-JP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  → </a:t>
          </a:r>
          <a:r>
            <a:rPr kumimoji="1" lang="ja-JP" altLang="en-US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抽選で進出者を決める</a:t>
          </a:r>
          <a:r>
            <a:rPr kumimoji="1" lang="ja-JP" altLang="ja-JP" sz="1100">
              <a:solidFill>
                <a:schemeClr val="dk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。</a:t>
          </a:r>
          <a:endParaRPr lang="ja-JP" altLang="ja-JP"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7FF963-3E36-4B3F-81F4-A890820C1CBC}" name="SystemMessageList" displayName="SystemMessageList" ref="A2:E25" totalsRowShown="0" headerRowDxfId="54" headerRowBorderDxfId="53" tableBorderDxfId="52">
  <autoFilter ref="A2:E25" xr:uid="{7A7FF963-3E36-4B3F-81F4-A890820C1CBC}"/>
  <tableColumns count="5">
    <tableColumn id="1" xr3:uid="{E7FBD792-9BC5-4B24-A07B-823340269FAC}" name="コード" dataDxfId="51">
      <calculatedColumnFormula>IF(C3="","","S"&amp;LEFT(B3)&amp;TEXT(C3,"000"))</calculatedColumnFormula>
    </tableColumn>
    <tableColumn id="2" xr3:uid="{14BE8DE0-0BA7-4F66-BF44-60E6CDCEBFEE}" name="種別" dataDxfId="50"/>
    <tableColumn id="3" xr3:uid="{7598B43A-0914-4905-9B31-284829A898BD}" name="連番" dataDxfId="49">
      <calculatedColumnFormula>IF(B3="","",MAX($C$2:OFFSET(C3,-1,0))+1)</calculatedColumnFormula>
    </tableColumn>
    <tableColumn id="4" xr3:uid="{95B28A31-4F52-469B-8317-F6E0F8B13C75}" name="メッセージ概略" dataDxfId="48"/>
    <tableColumn id="5" xr3:uid="{BB6D6D01-E4D2-4CE6-AD9F-4C611BB84D8F}" name="メッセージ内容" dataDxfId="47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1010AF-BA6B-40D0-8C38-C95A176BC239}" name="GameRecordList" displayName="GameRecordList" ref="A2:P12" totalsRowShown="0" headerRowDxfId="46" headerRowBorderDxfId="45" tableBorderDxfId="44">
  <autoFilter ref="A2:P12" xr:uid="{591010AF-BA6B-40D0-8C38-C95A176BC239}"/>
  <tableColumns count="16">
    <tableColumn id="1" xr3:uid="{3ED4731C-7C8B-4A98-B53C-E6D10CE17617}" name="名称" dataDxfId="43"/>
    <tableColumn id="2" xr3:uid="{A84997ED-F4B3-410F-96DF-93A1A93AFA08}" name="略称" dataDxfId="42"/>
    <tableColumn id="3" xr3:uid="{7925907C-2A6D-463F-B569-FDD4E8F20385}" name="記録" dataDxfId="41"/>
    <tableColumn id="4" xr3:uid="{13AF1824-DC67-4D63-BF4F-F704CAFBF7EB}" name="計測単位" dataDxfId="40"/>
    <tableColumn id="5" xr3:uid="{AEA45300-7226-498C-B549-9F86AE94A72C}" name="氏名" dataDxfId="39"/>
    <tableColumn id="6" xr3:uid="{9AE8E7DB-5911-4DBE-997D-C376C659414C}" name="所属チーム名" dataDxfId="38"/>
    <tableColumn id="7" xr3:uid="{749B4750-3A0A-44B6-8FC3-5A8A930410A9}" name="所属地" dataDxfId="37"/>
    <tableColumn id="13" xr3:uid="{B7AD55DB-AEE1-4A9A-8F9E-E162CE76723A}" name="国籍" dataDxfId="36"/>
    <tableColumn id="8" xr3:uid="{366E13F3-E764-4305-B1E5-948D855A59EE}" name="年" dataDxfId="35"/>
    <tableColumn id="9" xr3:uid="{3371E007-1CFC-4580-842C-7B8DB93AAC22}" name="月" dataDxfId="34"/>
    <tableColumn id="10" xr3:uid="{FD9DB4EE-5F5B-4685-8146-B1A6D4E91C6D}" name="日" dataDxfId="33"/>
    <tableColumn id="15" xr3:uid="{A066708B-63A5-4425-8475-302D105BF095}" name="対象区分" dataDxfId="32"/>
    <tableColumn id="14" xr3:uid="{96AC7AF9-7A2C-4511-814B-009BAAB0035E}" name="備考" dataDxfId="31"/>
    <tableColumn id="12" xr3:uid="{057911FB-1F8D-43E5-881D-AA352DED4F5A}" name="計測区分" dataDxfId="30">
      <calculatedColumnFormula>IF(GameRecordList[[#This Row],[計測単位]]="","",VLOOKUP(GameRecordList[[#This Row],[計測単位]],OFFSET(Code_Result_Unit, 0, 1, ,2),2,FALSE))</calculatedColumnFormula>
    </tableColumn>
    <tableColumn id="16" xr3:uid="{9B77E9EF-989A-4510-AA46-E8B2327CD66B}" name="種目ID" dataDxfId="29"/>
    <tableColumn id="11" xr3:uid="{76DD1793-2F1F-43AF-930A-5DB4E21E37D8}" name="ID" dataDxfId="28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BB4890-DB1C-41A1-AEF4-FC8DB2478C88}" name="EntryList" displayName="EntryList" ref="A5:Y7" totalsRowShown="0" headerRowDxfId="27" headerRowBorderDxfId="26" tableBorderDxfId="25">
  <autoFilter ref="A5:Y7" xr:uid="{63BB4890-DB1C-41A1-AEF4-FC8DB2478C88}"/>
  <sortState xmlns:xlrd2="http://schemas.microsoft.com/office/spreadsheetml/2017/richdata2" ref="A5:Y5">
    <sortCondition ref="U5"/>
  </sortState>
  <tableColumns count="25">
    <tableColumn id="1" xr3:uid="{4BAAA13F-7D8F-48CB-904D-7EDA40A660AD}" name="ラウンド" dataDxfId="24"/>
    <tableColumn id="21" xr3:uid="{2CDBD746-2BA0-4E4D-B1B6-80AD31287A4B}" name="個人ID" dataDxfId="23"/>
    <tableColumn id="22" xr3:uid="{F6E7B144-0C95-4020-919A-DA6B908FFC9B}" name="個人登録番号" dataDxfId="22"/>
    <tableColumn id="17" xr3:uid="{05D6877B-D0DD-46EE-83F3-B2375F462896}" name="性別" dataDxfId="21"/>
    <tableColumn id="2" xr3:uid="{1B2C804F-8299-4ADF-934D-8ABD5781A392}" name="Bib" dataDxfId="20"/>
    <tableColumn id="3" xr3:uid="{F6635244-DA1D-48F6-A770-BB67B1136E88}" name="氏名" dataDxfId="19"/>
    <tableColumn id="4" xr3:uid="{2446C8D8-5BD5-47D0-B33D-4FEC4EBCDC27}" name="年" dataDxfId="18"/>
    <tableColumn id="5" xr3:uid="{D00C4732-0CD6-4401-94B4-76FC52E03F09}" name="氏名_x000a_（カナ）" dataDxfId="17"/>
    <tableColumn id="20" xr3:uid="{D0A2ACD7-02B9-4D33-9CE2-53C151E4FEFD}" name="氏名_x000a_(ラテン表記)" dataDxfId="16"/>
    <tableColumn id="6" xr3:uid="{F6BA72EE-903B-4FB7-94F8-442695AE06EF}" name="所属チーム" dataDxfId="15"/>
    <tableColumn id="7" xr3:uid="{852C8D85-92F1-490B-8D91-B5B4D966C883}" name="所属地" dataDxfId="14"/>
    <tableColumn id="19" xr3:uid="{8A05A54B-7A62-4AA6-B4A0-2A6FA269E597}" name="国籍" dataDxfId="13"/>
    <tableColumn id="25" xr3:uid="{625F7047-3801-4F13-9FE8-EE65C3012BDC}" name="生年月日" dataDxfId="12"/>
    <tableColumn id="18" xr3:uid="{DD3D51AC-9DEC-492F-8112-1AD128C9F089}" name="選手区分" dataDxfId="11"/>
    <tableColumn id="16" xr3:uid="{DF9006E6-0275-4AAA-A4C1-A54E2404B002}" name="チームID" dataDxfId="10"/>
    <tableColumn id="8" xr3:uid="{EBCC8EE9-8877-4E3D-936A-C95B4419C714}" name="資格記録１" dataDxfId="9"/>
    <tableColumn id="9" xr3:uid="{6632C4E0-FA67-4A6F-96E8-4FB97B7119A5}" name="資格記録２" dataDxfId="8"/>
    <tableColumn id="23" xr3:uid="{B5157E83-72F4-4A4C-A2F2-E6991368D697}" name="資格記録３" dataDxfId="7"/>
    <tableColumn id="11" xr3:uid="{FA7A5AB2-9104-4D3D-8B7A-6EA73638DB76}" name="資格_x000a_順位" dataDxfId="6"/>
    <tableColumn id="24" xr3:uid="{76F2C897-88A8-488F-87A9-3712E949D23F}" name="ｵｰﾌﾟﾝ_x000a_参加" dataDxfId="5"/>
    <tableColumn id="12" xr3:uid="{A1966FA9-ABCA-4BAD-B71B-36825D52B9F0}" name="組" dataDxfId="4"/>
    <tableColumn id="13" xr3:uid="{4D7D6DA8-AA5B-4AE1-82DD-AB2C327CC8D6}" name="ORD" dataDxfId="3"/>
    <tableColumn id="15" xr3:uid="{B92E444F-5CE1-4FFB-87F7-FBDDE96FAFA2}" name="累積" dataDxfId="2"/>
    <tableColumn id="14" xr3:uid="{2C1BAA5C-7B5C-41F0-8BF6-549DB5D01D8B}" name="欠場" dataDxfId="1"/>
    <tableColumn id="10" xr3:uid="{B1517ABD-5F0B-4DEA-99B0-4D5380A2908F}" name="ID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214CE-5C6F-439F-A9C1-62557FB6582A}">
  <sheetPr codeName="CodeMasterSheet"/>
  <dimension ref="A2:AS67"/>
  <sheetViews>
    <sheetView topLeftCell="S1" workbookViewId="0">
      <selection activeCell="AS37" sqref="AS37"/>
    </sheetView>
  </sheetViews>
  <sheetFormatPr defaultRowHeight="13.5"/>
  <cols>
    <col min="1" max="1" width="5.875" customWidth="1"/>
    <col min="3" max="3" width="5.875" customWidth="1"/>
    <col min="4" max="4" width="1.625" customWidth="1"/>
    <col min="5" max="5" width="5.875" customWidth="1"/>
    <col min="7" max="7" width="5.875" customWidth="1"/>
    <col min="8" max="8" width="1.625" customWidth="1"/>
    <col min="9" max="9" width="5.875" customWidth="1"/>
    <col min="11" max="11" width="5.875" customWidth="1"/>
    <col min="12" max="12" width="1.625" customWidth="1"/>
    <col min="13" max="13" width="5.875" customWidth="1"/>
    <col min="15" max="15" width="5.875" customWidth="1"/>
    <col min="16" max="16" width="1.625" customWidth="1"/>
    <col min="17" max="17" width="5.875" customWidth="1"/>
    <col min="19" max="19" width="5.875" customWidth="1"/>
    <col min="20" max="20" width="1.625" customWidth="1"/>
    <col min="21" max="21" width="5.875" customWidth="1"/>
    <col min="23" max="23" width="5.875" customWidth="1"/>
    <col min="24" max="24" width="1.625" customWidth="1"/>
    <col min="25" max="25" width="5.875" customWidth="1"/>
    <col min="26" max="26" width="12.75" bestFit="1" customWidth="1"/>
    <col min="27" max="27" width="10.5" bestFit="1" customWidth="1"/>
    <col min="28" max="28" width="12.75" bestFit="1" customWidth="1"/>
    <col min="29" max="29" width="9.5" bestFit="1" customWidth="1"/>
    <col min="30" max="30" width="5.875" customWidth="1"/>
    <col min="31" max="31" width="1.625" customWidth="1"/>
    <col min="32" max="32" width="5.875" customWidth="1"/>
    <col min="34" max="34" width="5.875" customWidth="1"/>
    <col min="35" max="35" width="1.25" customWidth="1"/>
    <col min="36" max="36" width="5.875" customWidth="1"/>
    <col min="37" max="37" width="13.875" bestFit="1" customWidth="1"/>
    <col min="38" max="38" width="5.875" customWidth="1"/>
    <col min="39" max="39" width="1.25" customWidth="1"/>
    <col min="41" max="41" width="1.25" customWidth="1"/>
    <col min="43" max="43" width="22.75" bestFit="1" customWidth="1"/>
  </cols>
  <sheetData>
    <row r="2" spans="1:45">
      <c r="A2" t="s">
        <v>12</v>
      </c>
      <c r="E2" t="s">
        <v>18</v>
      </c>
      <c r="I2" t="s">
        <v>21</v>
      </c>
      <c r="M2" t="s">
        <v>22</v>
      </c>
      <c r="Q2" t="s">
        <v>26</v>
      </c>
      <c r="U2" t="s">
        <v>27</v>
      </c>
      <c r="Y2" t="s">
        <v>183</v>
      </c>
      <c r="AF2" t="s">
        <v>218</v>
      </c>
      <c r="AJ2" t="s">
        <v>221</v>
      </c>
      <c r="AN2" t="s">
        <v>231</v>
      </c>
      <c r="AP2" t="s">
        <v>249</v>
      </c>
      <c r="AS2" t="s">
        <v>448</v>
      </c>
    </row>
    <row r="3" spans="1:45">
      <c r="A3" t="s">
        <v>13</v>
      </c>
      <c r="B3" t="s">
        <v>17</v>
      </c>
      <c r="E3" t="s">
        <v>13</v>
      </c>
      <c r="F3" t="s">
        <v>17</v>
      </c>
      <c r="I3" t="s">
        <v>13</v>
      </c>
      <c r="J3" t="s">
        <v>17</v>
      </c>
      <c r="M3" t="s">
        <v>13</v>
      </c>
      <c r="N3" t="s">
        <v>17</v>
      </c>
      <c r="Q3" t="s">
        <v>13</v>
      </c>
      <c r="R3" t="s">
        <v>17</v>
      </c>
      <c r="U3" t="s">
        <v>13</v>
      </c>
      <c r="V3" t="s">
        <v>17</v>
      </c>
      <c r="Y3" t="s">
        <v>13</v>
      </c>
      <c r="Z3" t="s">
        <v>17</v>
      </c>
      <c r="AA3" t="s">
        <v>82</v>
      </c>
      <c r="AB3" t="s">
        <v>83</v>
      </c>
      <c r="AC3" t="s">
        <v>84</v>
      </c>
      <c r="AF3" t="s">
        <v>13</v>
      </c>
      <c r="AG3" t="s">
        <v>17</v>
      </c>
      <c r="AJ3" t="s">
        <v>13</v>
      </c>
      <c r="AK3" t="s">
        <v>17</v>
      </c>
      <c r="AN3" t="s">
        <v>13</v>
      </c>
      <c r="AP3" t="s">
        <v>13</v>
      </c>
      <c r="AQ3" t="s">
        <v>17</v>
      </c>
      <c r="AS3" t="s">
        <v>17</v>
      </c>
    </row>
    <row r="4" spans="1:45">
      <c r="A4" s="1">
        <v>1</v>
      </c>
      <c r="B4" s="1" t="s">
        <v>14</v>
      </c>
      <c r="C4" s="1">
        <f>A4</f>
        <v>1</v>
      </c>
      <c r="E4" s="1">
        <v>0</v>
      </c>
      <c r="F4" s="1" t="s">
        <v>19</v>
      </c>
      <c r="G4" s="1">
        <f>E4</f>
        <v>0</v>
      </c>
      <c r="I4" s="1">
        <v>0</v>
      </c>
      <c r="J4" s="1" t="s">
        <v>19</v>
      </c>
      <c r="K4" s="1">
        <f>I4</f>
        <v>0</v>
      </c>
      <c r="M4" s="1">
        <v>2</v>
      </c>
      <c r="N4" s="1" t="s">
        <v>23</v>
      </c>
      <c r="O4" s="1">
        <f>M4</f>
        <v>2</v>
      </c>
      <c r="Q4" s="1">
        <v>0</v>
      </c>
      <c r="R4" s="1" t="s">
        <v>19</v>
      </c>
      <c r="S4" s="1">
        <f>Q4</f>
        <v>0</v>
      </c>
      <c r="U4" s="2" t="s">
        <v>38</v>
      </c>
      <c r="V4" s="2" t="s">
        <v>28</v>
      </c>
      <c r="W4" s="2" t="str">
        <f>IF(COUNTIF($U$3:U4,U4)&gt;1,"",U4)</f>
        <v>AT01</v>
      </c>
      <c r="Y4" s="2" t="s">
        <v>85</v>
      </c>
      <c r="Z4" s="2" t="str">
        <f t="shared" ref="Z4:Z32" si="0">VLOOKUP(MID(Y4,1,1)*1,Code_Sex,2,FALSE)&amp;VLOOKUP(MID(Y4,2,4),Code_Event,2,FALSE)</f>
        <v>男子100m</v>
      </c>
      <c r="AA4" s="3" t="s">
        <v>119</v>
      </c>
      <c r="AB4" s="3" t="s">
        <v>120</v>
      </c>
      <c r="AC4" s="3" t="s">
        <v>121</v>
      </c>
      <c r="AD4" s="2" t="str">
        <f>IF(COUNTIF($Y$3:Y4,Y4)&gt;1,"",Y4)</f>
        <v>1AT01</v>
      </c>
      <c r="AF4" s="1">
        <v>1</v>
      </c>
      <c r="AG4" s="1" t="s">
        <v>219</v>
      </c>
      <c r="AH4" s="1">
        <f>AF4</f>
        <v>1</v>
      </c>
      <c r="AJ4" s="1">
        <v>0</v>
      </c>
      <c r="AK4" s="1" t="s">
        <v>223</v>
      </c>
      <c r="AL4" s="1">
        <f>AJ4</f>
        <v>0</v>
      </c>
      <c r="AN4" s="1">
        <v>8</v>
      </c>
      <c r="AP4" s="1" t="s">
        <v>250</v>
      </c>
      <c r="AQ4" s="1" t="s">
        <v>252</v>
      </c>
      <c r="AS4" s="1" t="s">
        <v>385</v>
      </c>
    </row>
    <row r="5" spans="1:45">
      <c r="A5" s="1">
        <v>2</v>
      </c>
      <c r="B5" s="1" t="s">
        <v>15</v>
      </c>
      <c r="C5" s="1">
        <f>A5</f>
        <v>2</v>
      </c>
      <c r="E5" s="1">
        <v>1</v>
      </c>
      <c r="F5" s="1" t="s">
        <v>20</v>
      </c>
      <c r="G5" s="1">
        <f>E5</f>
        <v>1</v>
      </c>
      <c r="I5" s="1">
        <v>1</v>
      </c>
      <c r="J5" s="1" t="s">
        <v>20</v>
      </c>
      <c r="K5" s="1">
        <f>I5</f>
        <v>1</v>
      </c>
      <c r="M5" s="1">
        <v>1</v>
      </c>
      <c r="N5" s="1" t="s">
        <v>24</v>
      </c>
      <c r="O5" s="1">
        <f>M5</f>
        <v>1</v>
      </c>
      <c r="Q5" s="1">
        <v>1</v>
      </c>
      <c r="R5" s="1" t="s">
        <v>20</v>
      </c>
      <c r="S5" s="1">
        <f>Q5</f>
        <v>1</v>
      </c>
      <c r="U5" s="2" t="s">
        <v>76</v>
      </c>
      <c r="V5" s="2" t="s">
        <v>29</v>
      </c>
      <c r="W5" s="2" t="str">
        <f>IF(COUNTIF($U$3:U5,U5)&gt;1,"",U5)</f>
        <v>AT02</v>
      </c>
      <c r="Y5" s="2" t="s">
        <v>86</v>
      </c>
      <c r="Z5" s="2" t="str">
        <f t="shared" si="0"/>
        <v>女子100m</v>
      </c>
      <c r="AA5" s="3" t="s">
        <v>122</v>
      </c>
      <c r="AB5" s="3" t="s">
        <v>123</v>
      </c>
      <c r="AC5" s="3" t="s">
        <v>121</v>
      </c>
      <c r="AD5" s="2" t="str">
        <f>IF(COUNTIF($Y$3:Y5,Y5)&gt;1,"",Y5)</f>
        <v>2AT01</v>
      </c>
      <c r="AF5" s="1">
        <v>2</v>
      </c>
      <c r="AG5" s="1" t="s">
        <v>222</v>
      </c>
      <c r="AH5" s="1">
        <f>AF5</f>
        <v>2</v>
      </c>
      <c r="AJ5" s="1">
        <v>1</v>
      </c>
      <c r="AK5" s="1" t="s">
        <v>224</v>
      </c>
      <c r="AL5" s="1">
        <f>AJ5</f>
        <v>1</v>
      </c>
      <c r="AN5" s="1">
        <v>9</v>
      </c>
      <c r="AP5" s="1" t="s">
        <v>251</v>
      </c>
      <c r="AQ5" s="1" t="s">
        <v>253</v>
      </c>
      <c r="AS5" s="1" t="s">
        <v>386</v>
      </c>
    </row>
    <row r="6" spans="1:45">
      <c r="A6" s="1">
        <v>8</v>
      </c>
      <c r="B6" s="1" t="s">
        <v>16</v>
      </c>
      <c r="C6" s="1">
        <f>A6</f>
        <v>8</v>
      </c>
      <c r="M6" s="1">
        <v>0</v>
      </c>
      <c r="N6" s="1" t="s">
        <v>25</v>
      </c>
      <c r="O6" s="1">
        <f>M6</f>
        <v>0</v>
      </c>
      <c r="U6" s="2" t="s">
        <v>48</v>
      </c>
      <c r="V6" s="2" t="s">
        <v>30</v>
      </c>
      <c r="W6" s="2" t="str">
        <f>IF(COUNTIF($U$3:U6,U6)&gt;1,"",U6)</f>
        <v>BT01</v>
      </c>
      <c r="Y6" s="2" t="s">
        <v>87</v>
      </c>
      <c r="Z6" s="2" t="str">
        <f t="shared" si="0"/>
        <v>男子200m</v>
      </c>
      <c r="AA6" s="3" t="s">
        <v>124</v>
      </c>
      <c r="AB6" s="3" t="s">
        <v>125</v>
      </c>
      <c r="AC6" s="3" t="s">
        <v>121</v>
      </c>
      <c r="AD6" s="2" t="str">
        <f>IF(COUNTIF($Y$3:Y6,Y6)&gt;1,"",Y6)</f>
        <v>1AT02</v>
      </c>
      <c r="AF6" s="1">
        <v>3</v>
      </c>
      <c r="AG6" s="1" t="s">
        <v>220</v>
      </c>
      <c r="AH6" s="1">
        <f>AF6</f>
        <v>3</v>
      </c>
      <c r="AJ6" s="1">
        <v>2</v>
      </c>
      <c r="AK6" s="1" t="s">
        <v>222</v>
      </c>
      <c r="AL6" s="1">
        <f>AJ6</f>
        <v>2</v>
      </c>
      <c r="AN6" s="1">
        <v>6</v>
      </c>
      <c r="AS6" s="1" t="s">
        <v>387</v>
      </c>
    </row>
    <row r="7" spans="1:45">
      <c r="U7" s="2" t="s">
        <v>49</v>
      </c>
      <c r="V7" s="2" t="s">
        <v>31</v>
      </c>
      <c r="W7" s="2" t="str">
        <f>IF(COUNTIF($U$3:U7,U7)&gt;1,"",U7)</f>
        <v>CT01</v>
      </c>
      <c r="Y7" s="2" t="s">
        <v>88</v>
      </c>
      <c r="Z7" s="2" t="str">
        <f t="shared" si="0"/>
        <v>女子200m</v>
      </c>
      <c r="AA7" s="3" t="s">
        <v>126</v>
      </c>
      <c r="AB7" s="3" t="s">
        <v>127</v>
      </c>
      <c r="AC7" s="3" t="s">
        <v>121</v>
      </c>
      <c r="AD7" s="2" t="str">
        <f>IF(COUNTIF($Y$3:Y7,Y7)&gt;1,"",Y7)</f>
        <v>2AT02</v>
      </c>
      <c r="AJ7" s="1">
        <v>3</v>
      </c>
      <c r="AK7" s="1" t="s">
        <v>220</v>
      </c>
      <c r="AL7" s="1">
        <f>AJ7</f>
        <v>3</v>
      </c>
      <c r="AN7" s="1">
        <v>4</v>
      </c>
      <c r="AS7" s="1" t="s">
        <v>388</v>
      </c>
    </row>
    <row r="8" spans="1:45">
      <c r="U8" s="2" t="s">
        <v>70</v>
      </c>
      <c r="V8" s="2" t="s">
        <v>32</v>
      </c>
      <c r="W8" s="2" t="str">
        <f>IF(COUNTIF($U$3:U8,U8)&gt;1,"",U8)</f>
        <v>CT02</v>
      </c>
      <c r="Y8" s="2" t="s">
        <v>89</v>
      </c>
      <c r="Z8" s="2" t="str">
        <f t="shared" si="0"/>
        <v>男子400m</v>
      </c>
      <c r="AA8" s="3" t="s">
        <v>128</v>
      </c>
      <c r="AB8" s="3" t="s">
        <v>129</v>
      </c>
      <c r="AC8" s="3" t="s">
        <v>121</v>
      </c>
      <c r="AD8" s="2" t="str">
        <f>IF(COUNTIF($Y$3:Y8,Y8)&gt;1,"",Y8)</f>
        <v>1BT01</v>
      </c>
      <c r="AS8" s="1" t="s">
        <v>389</v>
      </c>
    </row>
    <row r="9" spans="1:45">
      <c r="U9" s="2" t="s">
        <v>51</v>
      </c>
      <c r="V9" s="2" t="s">
        <v>33</v>
      </c>
      <c r="W9" s="2" t="str">
        <f>IF(COUNTIF($U$3:U9,U9)&gt;1,"",U9)</f>
        <v>DT01</v>
      </c>
      <c r="Y9" s="2" t="s">
        <v>184</v>
      </c>
      <c r="Z9" s="2" t="str">
        <f t="shared" si="0"/>
        <v>女子400m</v>
      </c>
      <c r="AA9" s="3" t="s">
        <v>130</v>
      </c>
      <c r="AB9" s="3" t="s">
        <v>131</v>
      </c>
      <c r="AC9" s="3" t="s">
        <v>121</v>
      </c>
      <c r="AD9" s="2" t="str">
        <f>IF(COUNTIF($Y$3:Y9,Y9)&gt;1,"",Y9)</f>
        <v>2BT01</v>
      </c>
      <c r="AS9" s="1" t="s">
        <v>390</v>
      </c>
    </row>
    <row r="10" spans="1:45">
      <c r="U10" s="2" t="s">
        <v>52</v>
      </c>
      <c r="V10" s="2" t="s">
        <v>34</v>
      </c>
      <c r="W10" s="2" t="str">
        <f>IF(COUNTIF($U$3:U10,U10)&gt;1,"",U10)</f>
        <v>DT02</v>
      </c>
      <c r="Y10" s="2" t="s">
        <v>90</v>
      </c>
      <c r="Z10" s="2" t="str">
        <f t="shared" si="0"/>
        <v>男子800m</v>
      </c>
      <c r="AA10" s="3" t="s">
        <v>132</v>
      </c>
      <c r="AB10" s="3" t="s">
        <v>133</v>
      </c>
      <c r="AC10" s="3" t="s">
        <v>134</v>
      </c>
      <c r="AD10" s="2" t="str">
        <f>IF(COUNTIF($Y$3:Y10,Y10)&gt;1,"",Y10)</f>
        <v>1CT01</v>
      </c>
      <c r="AS10" s="1" t="s">
        <v>391</v>
      </c>
    </row>
    <row r="11" spans="1:45">
      <c r="U11" s="2" t="s">
        <v>53</v>
      </c>
      <c r="V11" s="2" t="s">
        <v>55</v>
      </c>
      <c r="W11" s="2" t="str">
        <f>IF(COUNTIF($U$3:U11,U11)&gt;1,"",U11)</f>
        <v>AH01</v>
      </c>
      <c r="Y11" s="2" t="s">
        <v>91</v>
      </c>
      <c r="Z11" s="2" t="str">
        <f t="shared" si="0"/>
        <v>女子800m</v>
      </c>
      <c r="AA11" s="3" t="s">
        <v>135</v>
      </c>
      <c r="AB11" s="3" t="s">
        <v>136</v>
      </c>
      <c r="AC11" s="3" t="s">
        <v>137</v>
      </c>
      <c r="AD11" s="2" t="str">
        <f>IF(COUNTIF($Y$3:Y11,Y11)&gt;1,"",Y11)</f>
        <v>2CT01</v>
      </c>
      <c r="AS11" s="1" t="s">
        <v>392</v>
      </c>
    </row>
    <row r="12" spans="1:45">
      <c r="U12" s="2" t="s">
        <v>54</v>
      </c>
      <c r="V12" s="2" t="s">
        <v>35</v>
      </c>
      <c r="W12" s="2" t="str">
        <f>IF(COUNTIF($U$3:U12,U12)&gt;1,"",U12)</f>
        <v>AH02</v>
      </c>
      <c r="Y12" s="2" t="s">
        <v>94</v>
      </c>
      <c r="Z12" s="2" t="str">
        <f t="shared" si="0"/>
        <v>男子1500m</v>
      </c>
      <c r="AA12" s="3" t="s">
        <v>138</v>
      </c>
      <c r="AB12" s="3" t="s">
        <v>139</v>
      </c>
      <c r="AC12" s="3" t="s">
        <v>134</v>
      </c>
      <c r="AD12" s="2" t="str">
        <f>IF(COUNTIF($Y$3:Y12,Y12)&gt;1,"",Y12)</f>
        <v>1CT02</v>
      </c>
      <c r="AS12" s="1" t="s">
        <v>393</v>
      </c>
    </row>
    <row r="13" spans="1:45">
      <c r="U13" s="2" t="s">
        <v>56</v>
      </c>
      <c r="V13" s="2" t="s">
        <v>36</v>
      </c>
      <c r="W13" s="2" t="str">
        <f>IF(COUNTIF($U$3:U13,U13)&gt;1,"",U13)</f>
        <v>BH01</v>
      </c>
      <c r="Y13" s="2" t="s">
        <v>95</v>
      </c>
      <c r="Z13" s="2" t="str">
        <f t="shared" si="0"/>
        <v>女子1500m</v>
      </c>
      <c r="AA13" s="3" t="s">
        <v>140</v>
      </c>
      <c r="AB13" s="3" t="s">
        <v>141</v>
      </c>
      <c r="AC13" s="3" t="s">
        <v>137</v>
      </c>
      <c r="AD13" s="2" t="str">
        <f>IF(COUNTIF($Y$3:Y13,Y13)&gt;1,"",Y13)</f>
        <v>2CT02</v>
      </c>
      <c r="AS13" s="1" t="s">
        <v>394</v>
      </c>
    </row>
    <row r="14" spans="1:45">
      <c r="U14" s="2" t="s">
        <v>60</v>
      </c>
      <c r="V14" s="2" t="s">
        <v>37</v>
      </c>
      <c r="W14" s="2" t="str">
        <f>IF(COUNTIF($U$3:U14,U14)&gt;1,"",U14)</f>
        <v>DH01</v>
      </c>
      <c r="Y14" s="2" t="s">
        <v>185</v>
      </c>
      <c r="Z14" s="2" t="str">
        <f t="shared" si="0"/>
        <v>男子3000m</v>
      </c>
      <c r="AA14" s="3" t="s">
        <v>142</v>
      </c>
      <c r="AB14" s="3" t="s">
        <v>143</v>
      </c>
      <c r="AC14" s="3" t="s">
        <v>134</v>
      </c>
      <c r="AD14" s="2" t="str">
        <f>IF(COUNTIF($Y$3:Y14,Y14)&gt;1,"",Y14)</f>
        <v>1CT06</v>
      </c>
      <c r="AS14" s="1" t="s">
        <v>395</v>
      </c>
    </row>
    <row r="15" spans="1:45">
      <c r="U15" s="2" t="s">
        <v>64</v>
      </c>
      <c r="V15" s="2" t="s">
        <v>45</v>
      </c>
      <c r="W15" s="2" t="str">
        <f>IF(COUNTIF($U$3:U15,U15)&gt;1,"",U15)</f>
        <v>DW01</v>
      </c>
      <c r="Y15" s="2" t="s">
        <v>186</v>
      </c>
      <c r="Z15" s="2" t="str">
        <f t="shared" si="0"/>
        <v>女子3000m</v>
      </c>
      <c r="AA15" s="3" t="s">
        <v>144</v>
      </c>
      <c r="AB15" s="3" t="s">
        <v>145</v>
      </c>
      <c r="AC15" s="3" t="s">
        <v>137</v>
      </c>
      <c r="AD15" s="2" t="str">
        <f>IF(COUNTIF($Y$3:Y15,Y15)&gt;1,"",Y15)</f>
        <v>2CT06</v>
      </c>
      <c r="AS15" s="1" t="s">
        <v>396</v>
      </c>
    </row>
    <row r="16" spans="1:45">
      <c r="U16" s="2" t="s">
        <v>66</v>
      </c>
      <c r="V16" s="2" t="s">
        <v>46</v>
      </c>
      <c r="W16" s="2" t="str">
        <f>IF(COUNTIF($U$3:U16,U16)&gt;1,"",U16)</f>
        <v>DW02</v>
      </c>
      <c r="Y16" s="2" t="s">
        <v>96</v>
      </c>
      <c r="Z16" s="2" t="str">
        <f t="shared" si="0"/>
        <v>男子5000m</v>
      </c>
      <c r="AA16" s="3" t="s">
        <v>146</v>
      </c>
      <c r="AB16" s="3" t="s">
        <v>147</v>
      </c>
      <c r="AC16" s="3" t="s">
        <v>134</v>
      </c>
      <c r="AD16" s="2" t="str">
        <f>IF(COUNTIF($Y$3:Y16,Y16)&gt;1,"",Y16)</f>
        <v>1DT01</v>
      </c>
      <c r="AS16" s="1" t="s">
        <v>397</v>
      </c>
    </row>
    <row r="17" spans="21:45">
      <c r="U17" s="2" t="s">
        <v>77</v>
      </c>
      <c r="V17" s="2" t="s">
        <v>106</v>
      </c>
      <c r="W17" s="2" t="str">
        <f>IF(COUNTIF($U$3:U17,U17)&gt;1,"",U17)</f>
        <v>AT03</v>
      </c>
      <c r="Y17" s="2" t="s">
        <v>97</v>
      </c>
      <c r="Z17" s="2" t="str">
        <f t="shared" si="0"/>
        <v>女子5000m</v>
      </c>
      <c r="AA17" s="3" t="s">
        <v>148</v>
      </c>
      <c r="AB17" s="3" t="s">
        <v>149</v>
      </c>
      <c r="AC17" s="3" t="s">
        <v>137</v>
      </c>
      <c r="AD17" s="2" t="str">
        <f>IF(COUNTIF($Y$3:Y17,Y17)&gt;1,"",Y17)</f>
        <v>2DT01</v>
      </c>
      <c r="AS17" s="1" t="s">
        <v>398</v>
      </c>
    </row>
    <row r="18" spans="21:45">
      <c r="U18" s="2" t="s">
        <v>78</v>
      </c>
      <c r="V18" s="2" t="s">
        <v>107</v>
      </c>
      <c r="W18" s="2" t="str">
        <f>IF(COUNTIF($U$3:U18,U18)&gt;1,"",U18)</f>
        <v>AT04</v>
      </c>
      <c r="Y18" s="2" t="s">
        <v>187</v>
      </c>
      <c r="Z18" s="2" t="str">
        <f t="shared" si="0"/>
        <v>男子10000m</v>
      </c>
      <c r="AA18" s="3" t="s">
        <v>150</v>
      </c>
      <c r="AB18" s="3" t="s">
        <v>151</v>
      </c>
      <c r="AC18" s="3" t="s">
        <v>152</v>
      </c>
      <c r="AD18" s="2" t="str">
        <f>IF(COUNTIF($Y$3:Y18,Y18)&gt;1,"",Y18)</f>
        <v>1DT02</v>
      </c>
      <c r="AS18" s="1" t="s">
        <v>399</v>
      </c>
    </row>
    <row r="19" spans="21:45">
      <c r="U19" s="2" t="s">
        <v>108</v>
      </c>
      <c r="V19" s="2" t="s">
        <v>79</v>
      </c>
      <c r="W19" s="2" t="str">
        <f>IF(COUNTIF($U$3:U19,U19)&gt;1,"",U19)</f>
        <v>AT05</v>
      </c>
      <c r="Y19" s="2" t="s">
        <v>98</v>
      </c>
      <c r="Z19" s="2" t="str">
        <f t="shared" si="0"/>
        <v>女子10000m</v>
      </c>
      <c r="AA19" s="3" t="s">
        <v>153</v>
      </c>
      <c r="AB19" s="3" t="s">
        <v>154</v>
      </c>
      <c r="AC19" s="3" t="s">
        <v>137</v>
      </c>
      <c r="AD19" s="2" t="str">
        <f>IF(COUNTIF($Y$3:Y19,Y19)&gt;1,"",Y19)</f>
        <v>2DT02</v>
      </c>
      <c r="AS19" s="1" t="s">
        <v>400</v>
      </c>
    </row>
    <row r="20" spans="21:45">
      <c r="U20" s="2" t="s">
        <v>109</v>
      </c>
      <c r="V20" s="2" t="s">
        <v>80</v>
      </c>
      <c r="W20" s="2" t="str">
        <f>IF(COUNTIF($U$3:U20,U20)&gt;1,"",U20)</f>
        <v>AT06</v>
      </c>
      <c r="Y20" s="2" t="s">
        <v>100</v>
      </c>
      <c r="Z20" s="2" t="str">
        <f t="shared" si="0"/>
        <v>女子100mH</v>
      </c>
      <c r="AA20" s="3" t="s">
        <v>155</v>
      </c>
      <c r="AB20" s="3" t="s">
        <v>156</v>
      </c>
      <c r="AC20" s="3" t="s">
        <v>157</v>
      </c>
      <c r="AD20" s="2" t="str">
        <f>IF(COUNTIF($Y$3:Y20,Y20)&gt;1,"",Y20)</f>
        <v>2AH01</v>
      </c>
      <c r="AS20" s="1" t="s">
        <v>401</v>
      </c>
    </row>
    <row r="21" spans="21:45">
      <c r="U21" s="2" t="s">
        <v>69</v>
      </c>
      <c r="V21" s="2" t="s">
        <v>40</v>
      </c>
      <c r="W21" s="2" t="str">
        <f>IF(COUNTIF($U$3:U21,U21)&gt;1,"",U21)</f>
        <v>BT02</v>
      </c>
      <c r="Y21" s="2" t="s">
        <v>101</v>
      </c>
      <c r="Z21" s="2" t="str">
        <f t="shared" si="0"/>
        <v>男子110mH</v>
      </c>
      <c r="AA21" s="3" t="s">
        <v>158</v>
      </c>
      <c r="AB21" s="3" t="s">
        <v>159</v>
      </c>
      <c r="AC21" s="3" t="s">
        <v>160</v>
      </c>
      <c r="AD21" s="2" t="str">
        <f>IF(COUNTIF($Y$3:Y21,Y21)&gt;1,"",Y21)</f>
        <v>1AH02</v>
      </c>
      <c r="AS21" s="1" t="s">
        <v>402</v>
      </c>
    </row>
    <row r="22" spans="21:45">
      <c r="U22" s="2" t="s">
        <v>50</v>
      </c>
      <c r="V22" s="2" t="s">
        <v>41</v>
      </c>
      <c r="W22" s="2" t="str">
        <f>IF(COUNTIF($U$3:U22,U22)&gt;1,"",U22)</f>
        <v>CT03</v>
      </c>
      <c r="Y22" s="2" t="s">
        <v>112</v>
      </c>
      <c r="Z22" s="2" t="str">
        <f t="shared" si="0"/>
        <v>男子200mH</v>
      </c>
      <c r="AA22" s="3" t="s">
        <v>161</v>
      </c>
      <c r="AB22" s="3" t="s">
        <v>162</v>
      </c>
      <c r="AC22" s="3" t="s">
        <v>121</v>
      </c>
      <c r="AD22" s="2" t="str">
        <f>IF(COUNTIF($Y$3:Y22,Y22)&gt;1,"",Y22)</f>
        <v>1AH05</v>
      </c>
      <c r="AS22" s="1" t="s">
        <v>294</v>
      </c>
    </row>
    <row r="23" spans="21:45">
      <c r="U23" s="2" t="s">
        <v>71</v>
      </c>
      <c r="V23" s="2" t="s">
        <v>42</v>
      </c>
      <c r="W23" s="2" t="str">
        <f>IF(COUNTIF($U$3:U23,U23)&gt;1,"",U23)</f>
        <v>CT04</v>
      </c>
      <c r="Y23" s="2" t="s">
        <v>113</v>
      </c>
      <c r="Z23" s="2" t="str">
        <f t="shared" si="0"/>
        <v>女子200mH</v>
      </c>
      <c r="AA23" s="3" t="s">
        <v>163</v>
      </c>
      <c r="AB23" s="3" t="s">
        <v>164</v>
      </c>
      <c r="AC23" s="3" t="s">
        <v>121</v>
      </c>
      <c r="AD23" s="2" t="str">
        <f>IF(COUNTIF($Y$3:Y23,Y23)&gt;1,"",Y23)</f>
        <v>2AH05</v>
      </c>
      <c r="AS23" s="1" t="s">
        <v>403</v>
      </c>
    </row>
    <row r="24" spans="21:45">
      <c r="U24" s="2" t="s">
        <v>72</v>
      </c>
      <c r="V24" s="2" t="s">
        <v>61</v>
      </c>
      <c r="W24" s="2" t="str">
        <f>IF(COUNTIF($U$3:U24,U24)&gt;1,"",U24)</f>
        <v>CT05</v>
      </c>
      <c r="Y24" s="2" t="s">
        <v>104</v>
      </c>
      <c r="Z24" s="2" t="str">
        <f t="shared" si="0"/>
        <v>男子400mH</v>
      </c>
      <c r="AA24" s="3" t="s">
        <v>165</v>
      </c>
      <c r="AB24" s="3" t="s">
        <v>166</v>
      </c>
      <c r="AC24" s="3" t="s">
        <v>121</v>
      </c>
      <c r="AD24" s="2" t="str">
        <f>IF(COUNTIF($Y$3:Y24,Y24)&gt;1,"",Y24)</f>
        <v>1BH01</v>
      </c>
      <c r="AS24" s="1" t="s">
        <v>404</v>
      </c>
    </row>
    <row r="25" spans="21:45">
      <c r="U25" s="2" t="s">
        <v>74</v>
      </c>
      <c r="V25" s="2" t="s">
        <v>43</v>
      </c>
      <c r="W25" s="2" t="str">
        <f>IF(COUNTIF($U$3:U25,U25)&gt;1,"",U25)</f>
        <v>CT06</v>
      </c>
      <c r="Y25" s="2" t="s">
        <v>188</v>
      </c>
      <c r="Z25" s="2" t="str">
        <f t="shared" si="0"/>
        <v>女子400mH</v>
      </c>
      <c r="AA25" s="3" t="s">
        <v>167</v>
      </c>
      <c r="AB25" s="3" t="s">
        <v>168</v>
      </c>
      <c r="AC25" s="3" t="s">
        <v>121</v>
      </c>
      <c r="AD25" s="2" t="str">
        <f>IF(COUNTIF($Y$3:Y25,Y25)&gt;1,"",Y25)</f>
        <v>2BH01</v>
      </c>
      <c r="AS25" s="1" t="s">
        <v>405</v>
      </c>
    </row>
    <row r="26" spans="21:45">
      <c r="U26" s="2" t="s">
        <v>75</v>
      </c>
      <c r="V26" s="2" t="s">
        <v>44</v>
      </c>
      <c r="W26" s="2" t="str">
        <f>IF(COUNTIF($U$3:U26,U26)&gt;1,"",U26)</f>
        <v>DT03</v>
      </c>
      <c r="Y26" s="2" t="s">
        <v>105</v>
      </c>
      <c r="Z26" s="2" t="str">
        <f t="shared" si="0"/>
        <v>男子3000mSC</v>
      </c>
      <c r="AA26" s="3" t="s">
        <v>169</v>
      </c>
      <c r="AB26" s="3" t="s">
        <v>170</v>
      </c>
      <c r="AC26" s="3" t="s">
        <v>152</v>
      </c>
      <c r="AD26" s="2" t="str">
        <f>IF(COUNTIF($Y$3:Y26,Y26)&gt;1,"",Y26)</f>
        <v>1DH01</v>
      </c>
      <c r="AS26" s="1" t="s">
        <v>406</v>
      </c>
    </row>
    <row r="27" spans="21:45">
      <c r="U27" s="2" t="s">
        <v>92</v>
      </c>
      <c r="V27" s="2" t="s">
        <v>114</v>
      </c>
      <c r="W27" s="2" t="str">
        <f>IF(COUNTIF($U$3:U27,U27)&gt;1,"",U27)</f>
        <v>AH03</v>
      </c>
      <c r="Y27" s="2" t="s">
        <v>99</v>
      </c>
      <c r="Z27" s="2" t="str">
        <f t="shared" si="0"/>
        <v>女子3000mSC</v>
      </c>
      <c r="AA27" s="3" t="s">
        <v>171</v>
      </c>
      <c r="AB27" s="3" t="s">
        <v>172</v>
      </c>
      <c r="AC27" s="3" t="s">
        <v>152</v>
      </c>
      <c r="AD27" s="2" t="str">
        <f>IF(COUNTIF($Y$3:Y27,Y27)&gt;1,"",Y27)</f>
        <v>2DH01</v>
      </c>
      <c r="AS27" s="1" t="s">
        <v>407</v>
      </c>
    </row>
    <row r="28" spans="21:45">
      <c r="U28" s="2" t="s">
        <v>110</v>
      </c>
      <c r="V28" s="2" t="s">
        <v>115</v>
      </c>
      <c r="W28" s="2" t="str">
        <f>IF(COUNTIF($U$3:U28,U28)&gt;1,"",U28)</f>
        <v>AH04</v>
      </c>
      <c r="Y28" s="2" t="s">
        <v>116</v>
      </c>
      <c r="Z28" s="2" t="str">
        <f t="shared" si="0"/>
        <v>男子60m</v>
      </c>
      <c r="AA28" s="3" t="s">
        <v>173</v>
      </c>
      <c r="AB28" s="3" t="s">
        <v>174</v>
      </c>
      <c r="AC28" s="3" t="s">
        <v>121</v>
      </c>
      <c r="AD28" s="2" t="str">
        <f>IF(COUNTIF($Y$3:Y28,Y28)&gt;1,"",Y28)</f>
        <v>1AT04</v>
      </c>
      <c r="AS28" s="1" t="s">
        <v>408</v>
      </c>
    </row>
    <row r="29" spans="21:45">
      <c r="U29" s="2" t="s">
        <v>111</v>
      </c>
      <c r="V29" s="2" t="s">
        <v>93</v>
      </c>
      <c r="W29" s="2" t="str">
        <f>IF(COUNTIF($U$3:U29,U29)&gt;1,"",U29)</f>
        <v>AH05</v>
      </c>
      <c r="Y29" s="2" t="s">
        <v>117</v>
      </c>
      <c r="Z29" s="2" t="str">
        <f t="shared" si="0"/>
        <v>女子60m</v>
      </c>
      <c r="AA29" s="3" t="s">
        <v>175</v>
      </c>
      <c r="AB29" s="3" t="s">
        <v>176</v>
      </c>
      <c r="AC29" s="3" t="s">
        <v>121</v>
      </c>
      <c r="AD29" s="2" t="str">
        <f>IF(COUNTIF($Y$3:Y29,Y29)&gt;1,"",Y29)</f>
        <v>2AT04</v>
      </c>
      <c r="AS29" s="1" t="s">
        <v>409</v>
      </c>
    </row>
    <row r="30" spans="21:45">
      <c r="U30" s="2" t="s">
        <v>73</v>
      </c>
      <c r="V30" s="2" t="s">
        <v>57</v>
      </c>
      <c r="W30" s="2" t="str">
        <f>IF(COUNTIF($U$3:U30,U30)&gt;1,"",U30)</f>
        <v>BH02</v>
      </c>
      <c r="Y30" s="2" t="s">
        <v>102</v>
      </c>
      <c r="Z30" s="2" t="str">
        <f t="shared" si="0"/>
        <v>男子60mH</v>
      </c>
      <c r="AA30" s="3" t="s">
        <v>177</v>
      </c>
      <c r="AB30" s="3" t="s">
        <v>178</v>
      </c>
      <c r="AC30" s="3" t="s">
        <v>157</v>
      </c>
      <c r="AD30" s="2" t="str">
        <f>IF(COUNTIF($Y$3:Y30,Y30)&gt;1,"",Y30)</f>
        <v>1AH03</v>
      </c>
      <c r="AS30" s="1" t="s">
        <v>410</v>
      </c>
    </row>
    <row r="31" spans="21:45">
      <c r="U31" s="2" t="s">
        <v>63</v>
      </c>
      <c r="V31" s="2" t="s">
        <v>59</v>
      </c>
      <c r="W31" s="2" t="str">
        <f>IF(COUNTIF($U$3:U31,U31)&gt;1,"",U31)</f>
        <v>DH02</v>
      </c>
      <c r="Y31" s="2" t="s">
        <v>103</v>
      </c>
      <c r="Z31" s="2" t="str">
        <f t="shared" si="0"/>
        <v>女子60mH</v>
      </c>
      <c r="AA31" s="3" t="s">
        <v>179</v>
      </c>
      <c r="AB31" s="3" t="s">
        <v>180</v>
      </c>
      <c r="AC31" s="3" t="s">
        <v>160</v>
      </c>
      <c r="AD31" s="2" t="str">
        <f>IF(COUNTIF($Y$3:Y31,Y31)&gt;1,"",Y31)</f>
        <v>2AH03</v>
      </c>
      <c r="AS31" s="1" t="s">
        <v>411</v>
      </c>
    </row>
    <row r="32" spans="21:45">
      <c r="U32" s="2" t="s">
        <v>62</v>
      </c>
      <c r="V32" s="2" t="s">
        <v>58</v>
      </c>
      <c r="W32" s="2" t="str">
        <f>IF(COUNTIF($U$3:U32,U32)&gt;1,"",U32)</f>
        <v>DH03</v>
      </c>
      <c r="Y32" s="2" t="s">
        <v>118</v>
      </c>
      <c r="Z32" s="2" t="str">
        <f t="shared" si="0"/>
        <v>男子1000m</v>
      </c>
      <c r="AA32" s="3" t="s">
        <v>181</v>
      </c>
      <c r="AB32" s="3" t="s">
        <v>182</v>
      </c>
      <c r="AC32" s="3" t="s">
        <v>134</v>
      </c>
      <c r="AD32" s="2" t="str">
        <f>IF(COUNTIF($Y$3:Y32,Y32)&gt;1,"",Y32)</f>
        <v>1CT04</v>
      </c>
      <c r="AS32" s="1" t="s">
        <v>412</v>
      </c>
    </row>
    <row r="33" spans="21:45">
      <c r="U33" s="2" t="s">
        <v>67</v>
      </c>
      <c r="V33" s="2" t="s">
        <v>65</v>
      </c>
      <c r="W33" s="2" t="str">
        <f>IF(COUNTIF($U$3:U33,U33)&gt;1,"",U33)</f>
        <v>DW03</v>
      </c>
      <c r="AS33" s="1" t="s">
        <v>413</v>
      </c>
    </row>
    <row r="34" spans="21:45">
      <c r="U34" s="2" t="s">
        <v>68</v>
      </c>
      <c r="V34" s="2" t="s">
        <v>47</v>
      </c>
      <c r="W34" s="2" t="str">
        <f>IF(COUNTIF($U$3:U34,U34)&gt;1,"",U34)</f>
        <v>DW04</v>
      </c>
      <c r="AS34" s="1" t="s">
        <v>414</v>
      </c>
    </row>
    <row r="35" spans="21:45">
      <c r="U35" s="2" t="s">
        <v>189</v>
      </c>
      <c r="V35" s="2"/>
      <c r="W35" s="2"/>
      <c r="AS35" s="1" t="s">
        <v>415</v>
      </c>
    </row>
    <row r="36" spans="21:45">
      <c r="AS36" s="1" t="s">
        <v>416</v>
      </c>
    </row>
    <row r="37" spans="21:45">
      <c r="AS37" s="1" t="s">
        <v>417</v>
      </c>
    </row>
    <row r="38" spans="21:45">
      <c r="AS38" s="1" t="s">
        <v>418</v>
      </c>
    </row>
    <row r="39" spans="21:45">
      <c r="AS39" s="1" t="s">
        <v>419</v>
      </c>
    </row>
    <row r="40" spans="21:45">
      <c r="AS40" s="1" t="s">
        <v>420</v>
      </c>
    </row>
    <row r="41" spans="21:45">
      <c r="AS41" s="1" t="s">
        <v>421</v>
      </c>
    </row>
    <row r="42" spans="21:45">
      <c r="AS42" s="1" t="s">
        <v>422</v>
      </c>
    </row>
    <row r="43" spans="21:45">
      <c r="AS43" s="1" t="s">
        <v>423</v>
      </c>
    </row>
    <row r="44" spans="21:45">
      <c r="AS44" s="1" t="s">
        <v>424</v>
      </c>
    </row>
    <row r="45" spans="21:45">
      <c r="AS45" s="1" t="s">
        <v>425</v>
      </c>
    </row>
    <row r="46" spans="21:45">
      <c r="AS46" s="1" t="s">
        <v>426</v>
      </c>
    </row>
    <row r="47" spans="21:45">
      <c r="AS47" s="1" t="s">
        <v>427</v>
      </c>
    </row>
    <row r="48" spans="21:45">
      <c r="AS48" s="1" t="s">
        <v>428</v>
      </c>
    </row>
    <row r="49" spans="45:45">
      <c r="AS49" s="1" t="s">
        <v>429</v>
      </c>
    </row>
    <row r="50" spans="45:45">
      <c r="AS50" s="1" t="s">
        <v>430</v>
      </c>
    </row>
    <row r="51" spans="45:45">
      <c r="AS51" s="1" t="s">
        <v>431</v>
      </c>
    </row>
    <row r="52" spans="45:45">
      <c r="AS52" s="1" t="s">
        <v>432</v>
      </c>
    </row>
    <row r="53" spans="45:45">
      <c r="AS53" s="1" t="s">
        <v>433</v>
      </c>
    </row>
    <row r="54" spans="45:45">
      <c r="AS54" s="1" t="s">
        <v>434</v>
      </c>
    </row>
    <row r="55" spans="45:45">
      <c r="AS55" s="1" t="s">
        <v>435</v>
      </c>
    </row>
    <row r="56" spans="45:45">
      <c r="AS56" s="1" t="s">
        <v>436</v>
      </c>
    </row>
    <row r="57" spans="45:45">
      <c r="AS57" s="1" t="s">
        <v>437</v>
      </c>
    </row>
    <row r="58" spans="45:45">
      <c r="AS58" s="1" t="s">
        <v>438</v>
      </c>
    </row>
    <row r="59" spans="45:45">
      <c r="AS59" s="1" t="s">
        <v>439</v>
      </c>
    </row>
    <row r="60" spans="45:45">
      <c r="AS60" s="1" t="s">
        <v>440</v>
      </c>
    </row>
    <row r="61" spans="45:45">
      <c r="AS61" s="1" t="s">
        <v>441</v>
      </c>
    </row>
    <row r="62" spans="45:45">
      <c r="AS62" s="1" t="s">
        <v>442</v>
      </c>
    </row>
    <row r="63" spans="45:45">
      <c r="AS63" s="1" t="s">
        <v>443</v>
      </c>
    </row>
    <row r="64" spans="45:45">
      <c r="AS64" s="1" t="s">
        <v>444</v>
      </c>
    </row>
    <row r="65" spans="45:45">
      <c r="AS65" s="1" t="s">
        <v>445</v>
      </c>
    </row>
    <row r="66" spans="45:45">
      <c r="AS66" s="1" t="s">
        <v>446</v>
      </c>
    </row>
    <row r="67" spans="45:45">
      <c r="AS67" s="1" t="s">
        <v>447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E8890-3D4E-46FC-9FDA-BBED97D6862B}">
  <sheetPr codeName="MessageMasterSheet"/>
  <dimension ref="A2:E25"/>
  <sheetViews>
    <sheetView topLeftCell="A4" workbookViewId="0">
      <selection activeCell="B25" sqref="B25"/>
    </sheetView>
  </sheetViews>
  <sheetFormatPr defaultRowHeight="13.5"/>
  <cols>
    <col min="1" max="1" width="9.5" bestFit="1" customWidth="1"/>
    <col min="4" max="4" width="30.875" customWidth="1"/>
    <col min="5" max="5" width="100.875" customWidth="1"/>
  </cols>
  <sheetData>
    <row r="2" spans="1:5">
      <c r="A2" s="16" t="s">
        <v>212</v>
      </c>
      <c r="B2" s="17" t="s">
        <v>207</v>
      </c>
      <c r="C2" s="17" t="s">
        <v>209</v>
      </c>
      <c r="D2" s="17" t="s">
        <v>211</v>
      </c>
      <c r="E2" s="18" t="s">
        <v>208</v>
      </c>
    </row>
    <row r="3" spans="1:5" ht="27">
      <c r="A3" s="19" t="str">
        <f t="shared" ref="A3:A9" ca="1" si="0">IF(C3="","","S"&amp;LEFT(B3)&amp;TEXT(C3,"000"))</f>
        <v>SF001</v>
      </c>
      <c r="B3" s="5" t="s">
        <v>210</v>
      </c>
      <c r="C3" s="22">
        <f ca="1">IF(B3="","",MAX($C$2:OFFSET(C3,-1,0))+1)</f>
        <v>1</v>
      </c>
      <c r="D3" s="24" t="s">
        <v>215</v>
      </c>
      <c r="E3" s="25" t="s">
        <v>216</v>
      </c>
    </row>
    <row r="4" spans="1:5" ht="27">
      <c r="A4" s="20" t="str">
        <f t="shared" ca="1" si="0"/>
        <v>SE002</v>
      </c>
      <c r="B4" s="7" t="s">
        <v>213</v>
      </c>
      <c r="C4" s="9">
        <f ca="1">IF(B4="","",MAX($C$2:OFFSET(C4,-1,0))+1)</f>
        <v>2</v>
      </c>
      <c r="D4" s="26" t="s">
        <v>214</v>
      </c>
      <c r="E4" s="27" t="s">
        <v>217</v>
      </c>
    </row>
    <row r="5" spans="1:5" ht="40.5">
      <c r="A5" s="21" t="str">
        <f t="shared" ca="1" si="0"/>
        <v>SQ003</v>
      </c>
      <c r="B5" s="15" t="s">
        <v>322</v>
      </c>
      <c r="C5" s="23">
        <f ca="1">IF(B5="","",MAX($C$2:OFFSET(C5,-1,0))+1)</f>
        <v>3</v>
      </c>
      <c r="D5" s="28" t="s">
        <v>323</v>
      </c>
      <c r="E5" s="29" t="s">
        <v>324</v>
      </c>
    </row>
    <row r="6" spans="1:5" ht="27">
      <c r="A6" s="21" t="str">
        <f t="shared" ca="1" si="0"/>
        <v>SQ004</v>
      </c>
      <c r="B6" s="15" t="s">
        <v>322</v>
      </c>
      <c r="C6" s="23">
        <f ca="1">IF(B6="","",MAX($C$2:OFFSET(C6,-1,0))+1)</f>
        <v>4</v>
      </c>
      <c r="D6" s="28" t="s">
        <v>325</v>
      </c>
      <c r="E6" s="29" t="s">
        <v>326</v>
      </c>
    </row>
    <row r="7" spans="1:5">
      <c r="A7" s="21" t="str">
        <f t="shared" ca="1" si="0"/>
        <v>SI005</v>
      </c>
      <c r="B7" s="15" t="s">
        <v>334</v>
      </c>
      <c r="C7" s="23">
        <f ca="1">IF(B7="","",MAX($C$2:OFFSET(C7,-1,0))+1)</f>
        <v>5</v>
      </c>
      <c r="D7" s="28" t="s">
        <v>335</v>
      </c>
      <c r="E7" s="29" t="s">
        <v>339</v>
      </c>
    </row>
    <row r="8" spans="1:5">
      <c r="A8" s="21" t="str">
        <f t="shared" ca="1" si="0"/>
        <v>SI006</v>
      </c>
      <c r="B8" s="15" t="s">
        <v>334</v>
      </c>
      <c r="C8" s="23">
        <f ca="1">IF(B8="","",MAX($C$2:OFFSET(C8,-1,0))+1)</f>
        <v>6</v>
      </c>
      <c r="D8" s="28" t="s">
        <v>336</v>
      </c>
      <c r="E8" s="29" t="s">
        <v>363</v>
      </c>
    </row>
    <row r="9" spans="1:5" ht="27">
      <c r="A9" s="21" t="str">
        <f t="shared" ca="1" si="0"/>
        <v>SI007</v>
      </c>
      <c r="B9" s="15" t="s">
        <v>334</v>
      </c>
      <c r="C9" s="23">
        <f ca="1">IF(B9="","",MAX($C$2:OFFSET(C9,-1,0))+1)</f>
        <v>7</v>
      </c>
      <c r="D9" s="28" t="s">
        <v>337</v>
      </c>
      <c r="E9" s="29" t="s">
        <v>338</v>
      </c>
    </row>
    <row r="10" spans="1:5" ht="27">
      <c r="A10" s="21" t="str">
        <f t="shared" ref="A10:A16" ca="1" si="1">IF(C10="","","S"&amp;LEFT(B10)&amp;TEXT(C10,"000"))</f>
        <v>SE008</v>
      </c>
      <c r="B10" s="15" t="s">
        <v>213</v>
      </c>
      <c r="C10" s="23">
        <f ca="1">IF(B10="","",MAX($C$2:OFFSET(C10,-1,0))+1)</f>
        <v>8</v>
      </c>
      <c r="D10" s="28" t="s">
        <v>340</v>
      </c>
      <c r="E10" s="29" t="s">
        <v>341</v>
      </c>
    </row>
    <row r="11" spans="1:5" ht="27">
      <c r="A11" s="21" t="str">
        <f t="shared" ca="1" si="1"/>
        <v>SQ009</v>
      </c>
      <c r="B11" s="15" t="s">
        <v>322</v>
      </c>
      <c r="C11" s="23">
        <f ca="1">IF(B11="","",MAX($C$2:OFFSET(C11,-1,0))+1)</f>
        <v>9</v>
      </c>
      <c r="D11" s="28" t="s">
        <v>343</v>
      </c>
      <c r="E11" s="29" t="s">
        <v>344</v>
      </c>
    </row>
    <row r="12" spans="1:5" ht="27">
      <c r="A12" s="21" t="str">
        <f t="shared" ca="1" si="1"/>
        <v>SQ010</v>
      </c>
      <c r="B12" s="15" t="s">
        <v>322</v>
      </c>
      <c r="C12" s="23">
        <f ca="1">IF(B12="","",MAX($C$2:OFFSET(C12,-1,0))+1)</f>
        <v>10</v>
      </c>
      <c r="D12" s="28" t="s">
        <v>345</v>
      </c>
      <c r="E12" s="29" t="s">
        <v>346</v>
      </c>
    </row>
    <row r="13" spans="1:5" ht="27">
      <c r="A13" s="21" t="str">
        <f t="shared" ca="1" si="1"/>
        <v>SI011</v>
      </c>
      <c r="B13" s="15" t="s">
        <v>334</v>
      </c>
      <c r="C13" s="23">
        <f ca="1">IF(B13="","",MAX($C$2:OFFSET(C13,-1,0))+1)</f>
        <v>11</v>
      </c>
      <c r="D13" s="28" t="s">
        <v>347</v>
      </c>
      <c r="E13" s="29" t="s">
        <v>348</v>
      </c>
    </row>
    <row r="14" spans="1:5" ht="27">
      <c r="A14" s="21" t="str">
        <f t="shared" ca="1" si="1"/>
        <v>SW012</v>
      </c>
      <c r="B14" s="15" t="s">
        <v>349</v>
      </c>
      <c r="C14" s="23">
        <f ca="1">IF(B14="","",MAX($C$2:OFFSET(C14,-1,0))+1)</f>
        <v>12</v>
      </c>
      <c r="D14" s="28" t="s">
        <v>350</v>
      </c>
      <c r="E14" s="29" t="s">
        <v>351</v>
      </c>
    </row>
    <row r="15" spans="1:5">
      <c r="A15" s="21" t="str">
        <f t="shared" ca="1" si="1"/>
        <v>SI013</v>
      </c>
      <c r="B15" s="15" t="s">
        <v>334</v>
      </c>
      <c r="C15" s="23">
        <f ca="1">IF(B15="","",MAX($C$2:OFFSET(C15,-1,0))+1)</f>
        <v>13</v>
      </c>
      <c r="D15" s="28" t="s">
        <v>358</v>
      </c>
      <c r="E15" s="29" t="s">
        <v>370</v>
      </c>
    </row>
    <row r="16" spans="1:5">
      <c r="A16" s="21" t="str">
        <f t="shared" ca="1" si="1"/>
        <v>SI014</v>
      </c>
      <c r="B16" s="15" t="s">
        <v>334</v>
      </c>
      <c r="C16" s="23">
        <f ca="1">IF(B16="","",MAX($C$2:OFFSET(C16,-1,0))+1)</f>
        <v>14</v>
      </c>
      <c r="D16" s="28" t="s">
        <v>364</v>
      </c>
      <c r="E16" s="29" t="s">
        <v>367</v>
      </c>
    </row>
    <row r="17" spans="1:5">
      <c r="A17" s="21" t="str">
        <f t="shared" ref="A17:A22" ca="1" si="2">IF(C17="","","S"&amp;LEFT(B17)&amp;TEXT(C17,"000"))</f>
        <v>SI015</v>
      </c>
      <c r="B17" s="15" t="s">
        <v>334</v>
      </c>
      <c r="C17" s="23">
        <f ca="1">IF(B17="","",MAX($C$2:OFFSET(C17,-1,0))+1)</f>
        <v>15</v>
      </c>
      <c r="D17" s="28" t="s">
        <v>365</v>
      </c>
      <c r="E17" s="29" t="s">
        <v>366</v>
      </c>
    </row>
    <row r="18" spans="1:5">
      <c r="A18" s="21" t="str">
        <f t="shared" ca="1" si="2"/>
        <v>SI016</v>
      </c>
      <c r="B18" s="15" t="s">
        <v>334</v>
      </c>
      <c r="C18" s="23">
        <f ca="1">IF(B18="","",MAX($C$2:OFFSET(C18,-1,0))+1)</f>
        <v>16</v>
      </c>
      <c r="D18" s="28" t="s">
        <v>368</v>
      </c>
      <c r="E18" s="29" t="s">
        <v>369</v>
      </c>
    </row>
    <row r="19" spans="1:5" ht="40.5">
      <c r="A19" s="21" t="str">
        <f t="shared" ca="1" si="2"/>
        <v>SW017</v>
      </c>
      <c r="B19" s="15" t="s">
        <v>349</v>
      </c>
      <c r="C19" s="23">
        <f ca="1">IF(B19="","",MAX($C$2:OFFSET(C19,-1,0))+1)</f>
        <v>17</v>
      </c>
      <c r="D19" s="28" t="s">
        <v>374</v>
      </c>
      <c r="E19" s="29" t="s">
        <v>375</v>
      </c>
    </row>
    <row r="20" spans="1:5">
      <c r="A20" s="21" t="str">
        <f t="shared" ca="1" si="2"/>
        <v>SI018</v>
      </c>
      <c r="B20" s="15" t="s">
        <v>334</v>
      </c>
      <c r="C20" s="23">
        <f ca="1">IF(B20="","",MAX($C$2:OFFSET(C20,-1,0))+1)</f>
        <v>18</v>
      </c>
      <c r="D20" s="28" t="s">
        <v>449</v>
      </c>
      <c r="E20" s="29" t="s">
        <v>450</v>
      </c>
    </row>
    <row r="21" spans="1:5" ht="27">
      <c r="A21" s="21" t="str">
        <f t="shared" ca="1" si="2"/>
        <v>SE019</v>
      </c>
      <c r="B21" s="15" t="s">
        <v>213</v>
      </c>
      <c r="C21" s="23">
        <f ca="1">IF(B21="","",MAX($C$2:OFFSET(C21,-1,0))+1)</f>
        <v>19</v>
      </c>
      <c r="D21" s="28" t="s">
        <v>451</v>
      </c>
      <c r="E21" s="29" t="s">
        <v>457</v>
      </c>
    </row>
    <row r="22" spans="1:5" ht="40.5">
      <c r="A22" s="21" t="str">
        <f t="shared" ca="1" si="2"/>
        <v>SE020</v>
      </c>
      <c r="B22" s="15" t="s">
        <v>213</v>
      </c>
      <c r="C22" s="23">
        <f ca="1">IF(B22="","",MAX($C$2:OFFSET(C22,-1,0))+1)</f>
        <v>20</v>
      </c>
      <c r="D22" s="28" t="s">
        <v>455</v>
      </c>
      <c r="E22" s="29" t="s">
        <v>456</v>
      </c>
    </row>
    <row r="23" spans="1:5" ht="40.5">
      <c r="A23" s="21" t="str">
        <f ca="1">IF(C23="","","S"&amp;LEFT(B23)&amp;TEXT(C23,"000"))</f>
        <v>SE021</v>
      </c>
      <c r="B23" s="15" t="s">
        <v>213</v>
      </c>
      <c r="C23" s="23">
        <f ca="1">IF(B23="","",MAX($C$2:OFFSET(C23,-1,0))+1)</f>
        <v>21</v>
      </c>
      <c r="D23" s="28" t="s">
        <v>521</v>
      </c>
      <c r="E23" s="29" t="s">
        <v>522</v>
      </c>
    </row>
    <row r="24" spans="1:5" ht="27">
      <c r="A24" s="21" t="str">
        <f ca="1">IF(C24="","","S"&amp;LEFT(B24)&amp;TEXT(C24,"000"))</f>
        <v>SE022</v>
      </c>
      <c r="B24" s="15" t="s">
        <v>213</v>
      </c>
      <c r="C24" s="23">
        <f ca="1">IF(B24="","",MAX($C$2:OFFSET(C24,-1,0))+1)</f>
        <v>22</v>
      </c>
      <c r="D24" s="28" t="s">
        <v>525</v>
      </c>
      <c r="E24" s="29" t="s">
        <v>526</v>
      </c>
    </row>
    <row r="25" spans="1:5">
      <c r="A25" s="21" t="str">
        <f ca="1">IF(C25="","","S"&amp;LEFT(B25)&amp;TEXT(C25,"000"))</f>
        <v/>
      </c>
      <c r="B25" s="15"/>
      <c r="C25" s="23" t="str">
        <f ca="1">IF(B25="","",MAX($C$2:OFFSET(C25,-1,0))+1)</f>
        <v/>
      </c>
      <c r="D25" s="28"/>
      <c r="E25" s="29"/>
    </row>
  </sheetData>
  <phoneticPr fontId="1"/>
  <dataValidations count="1">
    <dataValidation type="list" allowBlank="1" showInputMessage="1" showErrorMessage="1" sqref="B3:B25" xr:uid="{3EB7EC1D-0D27-486C-BCCD-60DFE121CD1C}">
      <formula1>"FATAL,ERROR,WARN,INFO,QUESTION"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62F9F-EA66-4014-B8E1-672F01C7DBA0}">
  <sheetPr codeName="EventSettingSheet">
    <tabColor theme="7"/>
  </sheetPr>
  <dimension ref="A1:AD43"/>
  <sheetViews>
    <sheetView showGridLines="0" zoomScaleNormal="100" workbookViewId="0">
      <selection activeCell="B2" sqref="B2"/>
    </sheetView>
  </sheetViews>
  <sheetFormatPr defaultColWidth="1.625" defaultRowHeight="13.5"/>
  <cols>
    <col min="1" max="1" width="18.75" bestFit="1" customWidth="1"/>
    <col min="2" max="3" width="12.875" customWidth="1"/>
    <col min="4" max="10" width="1.625" customWidth="1"/>
    <col min="11" max="11" width="5.75" customWidth="1"/>
    <col min="12" max="12" width="11.625" bestFit="1" customWidth="1"/>
    <col min="13" max="13" width="18.875" customWidth="1"/>
    <col min="14" max="15" width="5.5" bestFit="1" customWidth="1"/>
    <col min="16" max="16" width="11.625" bestFit="1" customWidth="1"/>
    <col min="17" max="17" width="16.125" bestFit="1" customWidth="1"/>
    <col min="18" max="19" width="5.5" bestFit="1" customWidth="1"/>
    <col min="20" max="20" width="18.375" bestFit="1" customWidth="1"/>
    <col min="21" max="30" width="0" hidden="1" customWidth="1"/>
  </cols>
  <sheetData>
    <row r="1" spans="1:30">
      <c r="A1" t="s">
        <v>192</v>
      </c>
    </row>
    <row r="2" spans="1:30">
      <c r="A2" s="4" t="s">
        <v>0</v>
      </c>
      <c r="B2" s="5"/>
      <c r="C2" s="13"/>
      <c r="K2" s="31"/>
      <c r="L2" s="32"/>
      <c r="M2" s="32"/>
      <c r="N2" s="67"/>
      <c r="O2" s="111" t="s">
        <v>203</v>
      </c>
      <c r="P2" s="112"/>
      <c r="Q2" s="112"/>
      <c r="R2" s="109" t="s">
        <v>204</v>
      </c>
      <c r="S2" s="109"/>
      <c r="T2" s="110"/>
    </row>
    <row r="3" spans="1:30">
      <c r="A3" s="6" t="s">
        <v>1</v>
      </c>
      <c r="B3" s="7" t="s">
        <v>14</v>
      </c>
      <c r="C3" s="9">
        <f ca="1">VLOOKUP(B3,OFFSET(Code_Sex,0,1),2,FALSE)</f>
        <v>1</v>
      </c>
      <c r="K3" s="52" t="s">
        <v>193</v>
      </c>
      <c r="L3" s="53" t="s">
        <v>194</v>
      </c>
      <c r="M3" s="53" t="s">
        <v>195</v>
      </c>
      <c r="N3" s="53" t="s">
        <v>317</v>
      </c>
      <c r="O3" s="54" t="s">
        <v>197</v>
      </c>
      <c r="P3" s="54" t="s">
        <v>200</v>
      </c>
      <c r="Q3" s="54" t="s">
        <v>201</v>
      </c>
      <c r="R3" s="54" t="s">
        <v>198</v>
      </c>
      <c r="S3" s="55" t="s">
        <v>199</v>
      </c>
      <c r="T3" s="56" t="s">
        <v>202</v>
      </c>
    </row>
    <row r="4" spans="1:30">
      <c r="A4" s="6" t="s">
        <v>2</v>
      </c>
      <c r="B4" s="7" t="s">
        <v>453</v>
      </c>
      <c r="C4" s="9" t="str">
        <f ca="1">IF(COUNTIF(OFFSET(Code_Event,0,1,,1),B4)&lt;1,"",VLOOKUP(B4,OFFSET(Code_Event,0,1),2,FALSE))</f>
        <v>AT01</v>
      </c>
      <c r="K4" s="89">
        <v>1</v>
      </c>
      <c r="L4" s="90"/>
      <c r="M4" s="92"/>
      <c r="N4" s="90"/>
      <c r="O4" s="90"/>
      <c r="P4" s="90"/>
      <c r="Q4" s="90"/>
      <c r="R4" s="90"/>
      <c r="S4" s="90"/>
      <c r="T4" s="91">
        <f>O4*R4+S4</f>
        <v>0</v>
      </c>
      <c r="U4" s="93" t="e">
        <f ca="1">VLOOKUP(P4, OFFSET(Code_Group_Strategy, 0, 1), 2, FALSE)</f>
        <v>#N/A</v>
      </c>
      <c r="V4" s="90" t="e">
        <f ca="1">VLOOKUP(Q4, OFFSET(Code_Lane_Strategy, 0, 1), 2, FALSE)</f>
        <v>#N/A</v>
      </c>
      <c r="W4" s="90"/>
      <c r="X4" s="90"/>
      <c r="Y4" s="90"/>
      <c r="Z4" s="90"/>
      <c r="AA4" s="90"/>
      <c r="AB4" s="90"/>
      <c r="AC4" s="90"/>
      <c r="AD4" s="91"/>
    </row>
    <row r="5" spans="1:30">
      <c r="A5" s="6" t="s">
        <v>39</v>
      </c>
      <c r="B5" s="7"/>
      <c r="C5" s="9" t="str">
        <f>B2&amp;B3&amp;B4&amp;IF(B5="",""," ("&amp;B5&amp;")")</f>
        <v>男子100m</v>
      </c>
    </row>
    <row r="6" spans="1:30">
      <c r="A6" s="6" t="s">
        <v>196</v>
      </c>
      <c r="B6" s="7">
        <v>8</v>
      </c>
      <c r="C6" s="12"/>
    </row>
    <row r="7" spans="1:30">
      <c r="A7" s="6" t="s">
        <v>3</v>
      </c>
      <c r="B7" s="7">
        <v>1</v>
      </c>
      <c r="C7" s="12"/>
    </row>
    <row r="8" spans="1:30">
      <c r="A8" s="6" t="s">
        <v>4</v>
      </c>
      <c r="B8" s="7" t="s">
        <v>454</v>
      </c>
      <c r="C8" s="9">
        <f ca="1">VLOOKUP(B8,OFFSET(Code_Wind,0,1),2,FALSE)</f>
        <v>1</v>
      </c>
    </row>
    <row r="9" spans="1:30">
      <c r="A9" s="6" t="s">
        <v>5</v>
      </c>
      <c r="B9" s="7" t="s">
        <v>359</v>
      </c>
      <c r="C9" s="9">
        <f ca="1">VLOOKUP(B9,OFFSET(Code_Reaction,0,1),2,FALSE)</f>
        <v>0</v>
      </c>
    </row>
    <row r="10" spans="1:30">
      <c r="A10" s="6" t="s">
        <v>10</v>
      </c>
      <c r="B10" s="7" t="s">
        <v>23</v>
      </c>
      <c r="C10" s="9">
        <f ca="1">VLOOKUP(B10,OFFSET(Code_Result_Unit,0,1),2,FALSE)</f>
        <v>2</v>
      </c>
    </row>
    <row r="11" spans="1:30">
      <c r="A11" s="6" t="s">
        <v>6</v>
      </c>
      <c r="B11" s="12"/>
      <c r="C11" s="12"/>
    </row>
    <row r="12" spans="1:30">
      <c r="A12" s="8" t="s">
        <v>7</v>
      </c>
      <c r="B12" s="76" t="s">
        <v>205</v>
      </c>
      <c r="C12" s="12"/>
    </row>
    <row r="13" spans="1:30">
      <c r="A13" s="8" t="s">
        <v>8</v>
      </c>
      <c r="B13" s="7" t="s">
        <v>206</v>
      </c>
      <c r="C13" s="12"/>
    </row>
    <row r="14" spans="1:30">
      <c r="A14" s="6" t="s">
        <v>9</v>
      </c>
      <c r="B14" s="12"/>
      <c r="C14" s="9">
        <f>LEFT(B4,FIND("m",B4)-1)*1</f>
        <v>100</v>
      </c>
    </row>
    <row r="15" spans="1:30">
      <c r="A15" s="8" t="s">
        <v>81</v>
      </c>
      <c r="B15" s="7" t="s">
        <v>25</v>
      </c>
      <c r="C15" s="9">
        <f ca="1">VLOOKUP(B15,OFFSET(Code_Result_Unit,0,1),2,FALSE)</f>
        <v>0</v>
      </c>
    </row>
    <row r="16" spans="1:30">
      <c r="A16" s="8" t="s">
        <v>190</v>
      </c>
      <c r="B16" s="7">
        <v>400</v>
      </c>
      <c r="C16" s="12"/>
    </row>
    <row r="17" spans="1:3">
      <c r="A17" s="8" t="s">
        <v>191</v>
      </c>
      <c r="B17" s="7">
        <v>1000</v>
      </c>
      <c r="C17" s="12"/>
    </row>
    <row r="18" spans="1:3">
      <c r="A18" s="6" t="s">
        <v>11</v>
      </c>
      <c r="B18" s="7" t="s">
        <v>359</v>
      </c>
      <c r="C18" s="9">
        <f ca="1">VLOOKUP(B18,OFFSET(Code_Point_1,0,1),2,FALSE)</f>
        <v>0</v>
      </c>
    </row>
    <row r="19" spans="1:3">
      <c r="A19" s="8" t="s">
        <v>82</v>
      </c>
      <c r="B19" s="9" t="str">
        <f ca="1">IF($C$18&lt;&gt;1,"",IF(COUNTIF(OFFSET(Code_Point_2,0,0,,1),$C$3&amp;$C$4)&lt;1,"0",VLOOKUP($C$3&amp;$C$4,Code_Point_2,3,0)))</f>
        <v/>
      </c>
      <c r="C19" s="12"/>
    </row>
    <row r="20" spans="1:3">
      <c r="A20" s="8" t="s">
        <v>83</v>
      </c>
      <c r="B20" s="9" t="str">
        <f ca="1">IF($C$18&lt;&gt;1,"",IF(COUNTIF(OFFSET(Code_Point_2,0,0,,1),$C$3&amp;$C$4)&lt;1,"0",VLOOKUP($C$3&amp;$C$4,Code_Point_2,4,0)))</f>
        <v/>
      </c>
      <c r="C20" s="12"/>
    </row>
    <row r="21" spans="1:3">
      <c r="A21" s="10" t="s">
        <v>84</v>
      </c>
      <c r="B21" s="11" t="str">
        <f ca="1">IF($C$18&lt;&gt;1,"",IF(COUNTIF(OFFSET(Code_Point_2,0,0,,1),$C$3&amp;$C$4)&lt;1,"0",VLOOKUP($C$3&amp;$C$4,Code_Point_2,5,0)))</f>
        <v/>
      </c>
      <c r="C21" s="14"/>
    </row>
    <row r="23" spans="1:3">
      <c r="A23" s="36" t="s">
        <v>229</v>
      </c>
    </row>
    <row r="24" spans="1:3">
      <c r="A24" s="43" t="s">
        <v>230</v>
      </c>
      <c r="B24" s="30">
        <v>8</v>
      </c>
      <c r="C24" s="44"/>
    </row>
    <row r="25" spans="1:3">
      <c r="A25" s="37" t="s">
        <v>225</v>
      </c>
      <c r="B25" s="40" t="s">
        <v>371</v>
      </c>
      <c r="C25" s="22">
        <f>IF(LEN(B25)&lt;1,0,LEN(B25)-LEN(SUBSTITUTE(B25,",",""))+1)</f>
        <v>4</v>
      </c>
    </row>
    <row r="26" spans="1:3">
      <c r="A26" s="38" t="s">
        <v>226</v>
      </c>
      <c r="B26" s="41" t="s">
        <v>372</v>
      </c>
      <c r="C26" s="9">
        <f>IF(LEN(B26)&lt;1,0,LEN(B26)-LEN(SUBSTITUTE(B26,",",""))+1)</f>
        <v>2</v>
      </c>
    </row>
    <row r="27" spans="1:3">
      <c r="A27" s="38" t="s">
        <v>227</v>
      </c>
      <c r="B27" s="41" t="s">
        <v>373</v>
      </c>
      <c r="C27" s="9">
        <f>IF(LEN(B27)&lt;1,0,LEN(B27)-LEN(SUBSTITUTE(B27,",",""))+1)</f>
        <v>2</v>
      </c>
    </row>
    <row r="28" spans="1:3">
      <c r="A28" s="39" t="s">
        <v>228</v>
      </c>
      <c r="B28" s="42"/>
      <c r="C28" s="11">
        <f>IF(LEN(B28)&lt;1,0,LEN(B28)-LEN(SUBSTITUTE(B28,",",""))+1)</f>
        <v>0</v>
      </c>
    </row>
    <row r="31" spans="1:3">
      <c r="A31" s="36" t="s">
        <v>265</v>
      </c>
    </row>
    <row r="32" spans="1:3">
      <c r="A32" s="4" t="s">
        <v>266</v>
      </c>
      <c r="B32" s="95"/>
      <c r="C32" s="96"/>
    </row>
    <row r="33" spans="1:3">
      <c r="A33" s="6" t="s">
        <v>267</v>
      </c>
      <c r="B33" s="97"/>
      <c r="C33" s="98"/>
    </row>
    <row r="34" spans="1:3">
      <c r="A34" s="6" t="s">
        <v>268</v>
      </c>
      <c r="B34" s="97"/>
      <c r="C34" s="12"/>
    </row>
    <row r="35" spans="1:3">
      <c r="A35" s="6" t="s">
        <v>269</v>
      </c>
      <c r="B35" s="9"/>
      <c r="C35" s="12"/>
    </row>
    <row r="36" spans="1:3">
      <c r="A36" s="51" t="s">
        <v>270</v>
      </c>
      <c r="B36" s="94"/>
      <c r="C36" s="94"/>
    </row>
    <row r="38" spans="1:3">
      <c r="A38" t="s">
        <v>271</v>
      </c>
    </row>
    <row r="39" spans="1:3">
      <c r="A39" s="58" t="s">
        <v>272</v>
      </c>
      <c r="B39" s="61" t="s">
        <v>275</v>
      </c>
      <c r="C39" s="19"/>
    </row>
    <row r="40" spans="1:3">
      <c r="A40" s="59" t="s">
        <v>273</v>
      </c>
      <c r="B40" s="62" t="s">
        <v>276</v>
      </c>
      <c r="C40" s="20"/>
    </row>
    <row r="41" spans="1:3">
      <c r="A41" s="59" t="s">
        <v>264</v>
      </c>
      <c r="B41" s="62" t="s">
        <v>277</v>
      </c>
      <c r="C41" s="20"/>
    </row>
    <row r="42" spans="1:3">
      <c r="A42" s="59" t="s">
        <v>274</v>
      </c>
      <c r="B42" s="62" t="s">
        <v>278</v>
      </c>
      <c r="C42" s="20"/>
    </row>
    <row r="43" spans="1:3">
      <c r="A43" s="60" t="s">
        <v>279</v>
      </c>
      <c r="B43" s="63" t="s">
        <v>280</v>
      </c>
      <c r="C43" s="64"/>
    </row>
  </sheetData>
  <dataConsolidate/>
  <mergeCells count="2">
    <mergeCell ref="R2:T2"/>
    <mergeCell ref="O2:Q2"/>
  </mergeCells>
  <phoneticPr fontId="1"/>
  <dataValidations count="13">
    <dataValidation type="list" showInputMessage="1" showErrorMessage="1" sqref="B3" xr:uid="{5523627E-6ACE-40FC-8584-B3D714D1C3A9}">
      <formula1>OFFSET(Code_Sex,0,1,,1)</formula1>
    </dataValidation>
    <dataValidation type="list" imeMode="off" allowBlank="1" showInputMessage="1" sqref="B4" xr:uid="{020FCF73-F378-47DD-BB34-B8986F1A7030}">
      <formula1>OFFSET(Code_Event,0,1,ROWS(Code_Event)-1,1)</formula1>
    </dataValidation>
    <dataValidation imeMode="off" allowBlank="1" showInputMessage="1" showErrorMessage="1" sqref="B5" xr:uid="{386BA3E0-9530-4D57-9D93-DB403CE20809}"/>
    <dataValidation type="list" allowBlank="1" showInputMessage="1" showErrorMessage="1" sqref="B8" xr:uid="{15E6126A-F0A7-4649-97FD-6FD0F0541AB9}">
      <formula1>OFFSET(Code_Wind,0,1,,1)</formula1>
    </dataValidation>
    <dataValidation type="list" allowBlank="1" showInputMessage="1" showErrorMessage="1" sqref="B9" xr:uid="{C838B784-7202-4233-A08F-03B0007D8553}">
      <formula1>OFFSET(Code_Reaction,0,1,,1)</formula1>
    </dataValidation>
    <dataValidation type="whole" operator="greaterThanOrEqual" allowBlank="1" showInputMessage="1" showErrorMessage="1" sqref="B7" xr:uid="{D6716049-E522-4B8B-B0BB-BB9C5F85BD2A}">
      <formula1>1</formula1>
    </dataValidation>
    <dataValidation type="list" allowBlank="1" showInputMessage="1" showErrorMessage="1" sqref="B10 B15" xr:uid="{C8925FB0-4239-4D52-9986-F723AB0F43D9}">
      <formula1>OFFSET(Code_Result_Unit,0,1,,1)</formula1>
    </dataValidation>
    <dataValidation type="whole" imeMode="disabled" operator="greaterThan" allowBlank="1" showInputMessage="1" showErrorMessage="1" sqref="B16:B17" xr:uid="{8F998889-5262-4673-9F71-6F8A7C90D71F}">
      <formula1>0</formula1>
    </dataValidation>
    <dataValidation type="list" allowBlank="1" showInputMessage="1" showErrorMessage="1" sqref="B18" xr:uid="{F01C7C75-C645-46F6-9485-85FB739C0EDB}">
      <formula1>OFFSET(Code_Point_1,0,1,,1)</formula1>
    </dataValidation>
    <dataValidation type="whole" imeMode="off" operator="greaterThan" allowBlank="1" showInputMessage="1" showErrorMessage="1" sqref="B6" xr:uid="{68BEDA4A-7C2C-4374-8C1E-F36BB0693D5F}">
      <formula1>0</formula1>
    </dataValidation>
    <dataValidation type="list" allowBlank="1" showInputMessage="1" showErrorMessage="1" sqref="B24" xr:uid="{1B8DC8F8-3BF2-401D-9BD2-9989977F928C}">
      <formula1>Code_Lane_Type</formula1>
    </dataValidation>
    <dataValidation type="list" allowBlank="1" showInputMessage="1" showErrorMessage="1" sqref="P4" xr:uid="{AFCC2D04-3631-4832-A6C6-2ABBC0D0CE15}">
      <formula1>OFFSET(Code_Group_Strategy, 0, 1, , 1)</formula1>
    </dataValidation>
    <dataValidation type="list" allowBlank="1" showInputMessage="1" showErrorMessage="1" sqref="Q4" xr:uid="{FEFF94DF-F7FB-401C-952B-EA3390F6CE73}">
      <formula1>OFFSET(Code_Lane_Strategy, 0, 1, , 1)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160DE-25C6-4320-B136-1CF32E46ACE0}">
  <sheetPr codeName="GameRecordSheet">
    <tabColor theme="7"/>
  </sheetPr>
  <dimension ref="A1:P12"/>
  <sheetViews>
    <sheetView showGridLines="0" workbookViewId="0">
      <selection activeCell="A3" sqref="A3"/>
    </sheetView>
  </sheetViews>
  <sheetFormatPr defaultRowHeight="13.5"/>
  <cols>
    <col min="1" max="1" width="20.875" customWidth="1"/>
    <col min="2" max="2" width="8" bestFit="1" customWidth="1"/>
    <col min="3" max="3" width="10.875" customWidth="1"/>
    <col min="4" max="4" width="12.25" bestFit="1" customWidth="1"/>
    <col min="5" max="6" width="20.875" customWidth="1"/>
    <col min="7" max="8" width="7.125" customWidth="1"/>
    <col min="9" max="11" width="5.875" bestFit="1" customWidth="1"/>
    <col min="12" max="13" width="20.625" customWidth="1"/>
    <col min="14" max="15" width="14.25" hidden="1" customWidth="1"/>
    <col min="16" max="16" width="9" hidden="1" customWidth="1"/>
  </cols>
  <sheetData>
    <row r="1" spans="1:16" ht="28.5">
      <c r="A1" s="50" t="s">
        <v>315</v>
      </c>
    </row>
    <row r="2" spans="1:16" s="102" customFormat="1" ht="27" customHeight="1">
      <c r="A2" s="99" t="s">
        <v>255</v>
      </c>
      <c r="B2" s="100" t="s">
        <v>256</v>
      </c>
      <c r="C2" s="107" t="s">
        <v>257</v>
      </c>
      <c r="D2" s="100" t="s">
        <v>10</v>
      </c>
      <c r="E2" s="107" t="s">
        <v>233</v>
      </c>
      <c r="F2" s="107" t="s">
        <v>236</v>
      </c>
      <c r="G2" s="100" t="s">
        <v>237</v>
      </c>
      <c r="H2" s="100" t="s">
        <v>261</v>
      </c>
      <c r="I2" s="100" t="s">
        <v>234</v>
      </c>
      <c r="J2" s="100" t="s">
        <v>258</v>
      </c>
      <c r="K2" s="104" t="s">
        <v>259</v>
      </c>
      <c r="L2" s="104" t="s">
        <v>523</v>
      </c>
      <c r="M2" s="101" t="s">
        <v>291</v>
      </c>
      <c r="N2" s="99" t="s">
        <v>316</v>
      </c>
      <c r="O2" s="103" t="s">
        <v>524</v>
      </c>
      <c r="P2" s="101" t="s">
        <v>311</v>
      </c>
    </row>
    <row r="3" spans="1:16">
      <c r="A3" s="57"/>
      <c r="B3" s="34"/>
      <c r="C3" s="66"/>
      <c r="D3" s="34"/>
      <c r="E3" s="34"/>
      <c r="F3" s="34"/>
      <c r="G3" s="34"/>
      <c r="H3" s="34"/>
      <c r="I3" s="34"/>
      <c r="J3" s="34"/>
      <c r="K3" s="34"/>
      <c r="L3" s="105"/>
      <c r="M3" s="35"/>
      <c r="N3" s="80" t="str">
        <f ca="1">IF(GameRecordList[[#This Row],[計測単位]]="","",VLOOKUP(GameRecordList[[#This Row],[計測単位]],OFFSET(Code_Result_Unit, 0, 1, ,2),2,FALSE))</f>
        <v/>
      </c>
      <c r="O3" s="81"/>
      <c r="P3" s="81"/>
    </row>
    <row r="4" spans="1:16">
      <c r="A4" s="46"/>
      <c r="B4" s="47"/>
      <c r="C4" s="48"/>
      <c r="D4" s="47"/>
      <c r="E4" s="47"/>
      <c r="F4" s="47"/>
      <c r="G4" s="47"/>
      <c r="H4" s="47"/>
      <c r="I4" s="47"/>
      <c r="J4" s="47"/>
      <c r="K4" s="47"/>
      <c r="L4" s="106"/>
      <c r="M4" s="78"/>
      <c r="N4" s="82" t="str">
        <f ca="1">IF(GameRecordList[[#This Row],[計測単位]]="","",VLOOKUP(GameRecordList[[#This Row],[計測単位]],OFFSET(Code_Result_Unit, 0, 1, ,2),2,FALSE))</f>
        <v/>
      </c>
      <c r="O4" s="79"/>
      <c r="P4" s="79"/>
    </row>
    <row r="5" spans="1:16">
      <c r="A5" s="46"/>
      <c r="B5" s="47"/>
      <c r="C5" s="48"/>
      <c r="D5" s="47"/>
      <c r="E5" s="47"/>
      <c r="F5" s="47"/>
      <c r="G5" s="47"/>
      <c r="H5" s="47"/>
      <c r="I5" s="47"/>
      <c r="J5" s="47"/>
      <c r="K5" s="47"/>
      <c r="L5" s="106"/>
      <c r="M5" s="78"/>
      <c r="N5" s="82" t="str">
        <f ca="1">IF(GameRecordList[[#This Row],[計測単位]]="","",VLOOKUP(GameRecordList[[#This Row],[計測単位]],OFFSET(Code_Result_Unit, 0, 1, ,2),2,FALSE))</f>
        <v/>
      </c>
      <c r="O5" s="79"/>
      <c r="P5" s="79"/>
    </row>
    <row r="6" spans="1:16">
      <c r="A6" s="46"/>
      <c r="B6" s="47"/>
      <c r="C6" s="48"/>
      <c r="D6" s="47"/>
      <c r="E6" s="47"/>
      <c r="F6" s="47"/>
      <c r="G6" s="47"/>
      <c r="H6" s="47"/>
      <c r="I6" s="47"/>
      <c r="J6" s="47"/>
      <c r="K6" s="47"/>
      <c r="L6" s="106"/>
      <c r="M6" s="78"/>
      <c r="N6" s="82" t="str">
        <f ca="1">IF(GameRecordList[[#This Row],[計測単位]]="","",VLOOKUP(GameRecordList[[#This Row],[計測単位]],OFFSET(Code_Result_Unit, 0, 1, ,2),2,FALSE))</f>
        <v/>
      </c>
      <c r="O6" s="79"/>
      <c r="P6" s="79"/>
    </row>
    <row r="7" spans="1:16">
      <c r="A7" s="46"/>
      <c r="B7" s="47"/>
      <c r="C7" s="48"/>
      <c r="D7" s="47"/>
      <c r="E7" s="47"/>
      <c r="F7" s="47"/>
      <c r="G7" s="47"/>
      <c r="H7" s="47"/>
      <c r="I7" s="47"/>
      <c r="J7" s="47"/>
      <c r="K7" s="47"/>
      <c r="L7" s="106"/>
      <c r="M7" s="78"/>
      <c r="N7" s="82" t="str">
        <f ca="1">IF(GameRecordList[[#This Row],[計測単位]]="","",VLOOKUP(GameRecordList[[#This Row],[計測単位]],OFFSET(Code_Result_Unit, 0, 1, ,2),2,FALSE))</f>
        <v/>
      </c>
      <c r="O7" s="79"/>
      <c r="P7" s="79"/>
    </row>
    <row r="8" spans="1:16">
      <c r="A8" s="46"/>
      <c r="B8" s="47"/>
      <c r="C8" s="48"/>
      <c r="D8" s="47"/>
      <c r="E8" s="47"/>
      <c r="F8" s="47"/>
      <c r="G8" s="47"/>
      <c r="H8" s="47"/>
      <c r="I8" s="47"/>
      <c r="J8" s="47"/>
      <c r="K8" s="47"/>
      <c r="L8" s="106"/>
      <c r="M8" s="78"/>
      <c r="N8" s="82" t="str">
        <f ca="1">IF(GameRecordList[[#This Row],[計測単位]]="","",VLOOKUP(GameRecordList[[#This Row],[計測単位]],OFFSET(Code_Result_Unit, 0, 1, ,2),2,FALSE))</f>
        <v/>
      </c>
      <c r="O8" s="79"/>
      <c r="P8" s="79"/>
    </row>
    <row r="9" spans="1:16">
      <c r="A9" s="46"/>
      <c r="B9" s="47"/>
      <c r="C9" s="48"/>
      <c r="D9" s="47"/>
      <c r="E9" s="47"/>
      <c r="F9" s="47"/>
      <c r="G9" s="47"/>
      <c r="H9" s="47"/>
      <c r="I9" s="47"/>
      <c r="J9" s="47"/>
      <c r="K9" s="47"/>
      <c r="L9" s="106"/>
      <c r="M9" s="78"/>
      <c r="N9" s="82" t="str">
        <f ca="1">IF(GameRecordList[[#This Row],[計測単位]]="","",VLOOKUP(GameRecordList[[#This Row],[計測単位]],OFFSET(Code_Result_Unit, 0, 1, ,2),2,FALSE))</f>
        <v/>
      </c>
      <c r="O9" s="79"/>
      <c r="P9" s="79"/>
    </row>
    <row r="10" spans="1:16">
      <c r="A10" s="46"/>
      <c r="B10" s="47"/>
      <c r="C10" s="48"/>
      <c r="D10" s="47"/>
      <c r="E10" s="47"/>
      <c r="F10" s="47"/>
      <c r="G10" s="47"/>
      <c r="H10" s="47"/>
      <c r="I10" s="47"/>
      <c r="J10" s="47"/>
      <c r="K10" s="47"/>
      <c r="L10" s="106"/>
      <c r="M10" s="78"/>
      <c r="N10" s="82" t="str">
        <f ca="1">IF(GameRecordList[[#This Row],[計測単位]]="","",VLOOKUP(GameRecordList[[#This Row],[計測単位]],OFFSET(Code_Result_Unit, 0, 1, ,2),2,FALSE))</f>
        <v/>
      </c>
      <c r="O10" s="79"/>
      <c r="P10" s="79"/>
    </row>
    <row r="11" spans="1:16">
      <c r="A11" s="46"/>
      <c r="B11" s="47"/>
      <c r="C11" s="48"/>
      <c r="D11" s="47"/>
      <c r="E11" s="47"/>
      <c r="F11" s="47"/>
      <c r="G11" s="47"/>
      <c r="H11" s="47"/>
      <c r="I11" s="47"/>
      <c r="J11" s="47"/>
      <c r="K11" s="47"/>
      <c r="L11" s="106"/>
      <c r="M11" s="78"/>
      <c r="N11" s="82" t="str">
        <f ca="1">IF(GameRecordList[[#This Row],[計測単位]]="","",VLOOKUP(GameRecordList[[#This Row],[計測単位]],OFFSET(Code_Result_Unit, 0, 1, ,2),2,FALSE))</f>
        <v/>
      </c>
      <c r="O11" s="79"/>
      <c r="P11" s="79"/>
    </row>
    <row r="12" spans="1:16">
      <c r="A12" s="46"/>
      <c r="B12" s="47"/>
      <c r="C12" s="48"/>
      <c r="D12" s="47"/>
      <c r="E12" s="47"/>
      <c r="F12" s="47"/>
      <c r="G12" s="47"/>
      <c r="H12" s="47"/>
      <c r="I12" s="47"/>
      <c r="J12" s="47"/>
      <c r="K12" s="47"/>
      <c r="L12" s="106"/>
      <c r="M12" s="78"/>
      <c r="N12" s="82" t="str">
        <f ca="1">IF(GameRecordList[[#This Row],[計測単位]]="","",VLOOKUP(GameRecordList[[#This Row],[計測単位]],OFFSET(Code_Result_Unit, 0, 1, ,2),2,FALSE))</f>
        <v/>
      </c>
      <c r="O12" s="79"/>
      <c r="P12" s="79"/>
    </row>
  </sheetData>
  <phoneticPr fontId="1"/>
  <dataValidations count="1">
    <dataValidation type="list" allowBlank="1" showInputMessage="1" showErrorMessage="1" sqref="D3:D12" xr:uid="{FB1666A8-5449-4D36-9205-0EAF3D92FEB5}">
      <formula1>OFFSET(Code_Result_Unit, 0,1,,1)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ADE8B-98AD-4AD8-896F-67C48E59EDAB}">
  <sheetPr codeName="EntryListSheet">
    <tabColor theme="7"/>
  </sheetPr>
  <dimension ref="A1:Z7"/>
  <sheetViews>
    <sheetView showGridLines="0" tabSelected="1" topLeftCell="B1" zoomScaleNormal="100" workbookViewId="0">
      <pane ySplit="5" topLeftCell="A6" activePane="bottomLeft" state="frozen"/>
      <selection pane="bottomLeft" activeCell="M6" sqref="M6:M7"/>
    </sheetView>
  </sheetViews>
  <sheetFormatPr defaultRowHeight="13.5"/>
  <cols>
    <col min="1" max="2" width="10.75" customWidth="1"/>
    <col min="3" max="3" width="15.625" customWidth="1"/>
    <col min="4" max="4" width="8" bestFit="1" customWidth="1"/>
    <col min="5" max="5" width="5.875" customWidth="1"/>
    <col min="6" max="6" width="20.625" customWidth="1"/>
    <col min="7" max="7" width="5" customWidth="1"/>
    <col min="8" max="9" width="20.625" customWidth="1"/>
    <col min="10" max="10" width="22.25" customWidth="1"/>
    <col min="11" max="11" width="12.125" bestFit="1" customWidth="1"/>
    <col min="12" max="12" width="10" bestFit="1" customWidth="1"/>
    <col min="13" max="13" width="10" customWidth="1"/>
    <col min="14" max="14" width="12.25" bestFit="1" customWidth="1"/>
    <col min="15" max="15" width="12.25" hidden="1" customWidth="1"/>
    <col min="16" max="18" width="12.75" customWidth="1"/>
    <col min="19" max="19" width="10.25" bestFit="1" customWidth="1"/>
    <col min="20" max="20" width="10.25" customWidth="1"/>
    <col min="25" max="25" width="9" hidden="1" customWidth="1"/>
  </cols>
  <sheetData>
    <row r="1" spans="1:26" ht="31.5" customHeight="1">
      <c r="A1" s="50" t="s">
        <v>264</v>
      </c>
    </row>
    <row r="2" spans="1:26">
      <c r="B2" s="45" t="s">
        <v>254</v>
      </c>
      <c r="C2" s="113"/>
      <c r="D2" s="113"/>
    </row>
    <row r="4" spans="1:26"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W4" t="s">
        <v>281</v>
      </c>
    </row>
    <row r="5" spans="1:26" ht="27">
      <c r="A5" s="84" t="s">
        <v>241</v>
      </c>
      <c r="B5" s="85" t="s">
        <v>263</v>
      </c>
      <c r="C5" s="85" t="s">
        <v>378</v>
      </c>
      <c r="D5" s="85" t="s">
        <v>1</v>
      </c>
      <c r="E5" s="85" t="s">
        <v>232</v>
      </c>
      <c r="F5" s="85" t="s">
        <v>233</v>
      </c>
      <c r="G5" s="85" t="s">
        <v>234</v>
      </c>
      <c r="H5" s="86" t="s">
        <v>379</v>
      </c>
      <c r="I5" s="86" t="s">
        <v>380</v>
      </c>
      <c r="J5" s="85" t="s">
        <v>381</v>
      </c>
      <c r="K5" s="85" t="s">
        <v>237</v>
      </c>
      <c r="L5" s="85" t="s">
        <v>261</v>
      </c>
      <c r="M5" s="85" t="s">
        <v>527</v>
      </c>
      <c r="N5" s="85" t="s">
        <v>260</v>
      </c>
      <c r="O5" s="85" t="s">
        <v>376</v>
      </c>
      <c r="P5" s="85" t="s">
        <v>382</v>
      </c>
      <c r="Q5" s="85" t="s">
        <v>238</v>
      </c>
      <c r="R5" s="85" t="s">
        <v>377</v>
      </c>
      <c r="S5" s="86" t="s">
        <v>383</v>
      </c>
      <c r="T5" s="86" t="s">
        <v>384</v>
      </c>
      <c r="U5" s="85" t="s">
        <v>239</v>
      </c>
      <c r="V5" s="85" t="s">
        <v>240</v>
      </c>
      <c r="W5" s="85" t="s">
        <v>248</v>
      </c>
      <c r="X5" s="85" t="s">
        <v>245</v>
      </c>
      <c r="Y5" s="87" t="s">
        <v>193</v>
      </c>
      <c r="Z5" s="75"/>
    </row>
    <row r="6" spans="1:26">
      <c r="A6" s="46"/>
      <c r="B6" s="47"/>
      <c r="C6" s="47"/>
      <c r="D6" s="47"/>
      <c r="E6" s="48"/>
      <c r="F6" s="47"/>
      <c r="G6" s="47"/>
      <c r="H6" s="47"/>
      <c r="I6" s="47"/>
      <c r="J6" s="47"/>
      <c r="K6" s="47"/>
      <c r="L6" s="47"/>
      <c r="M6" s="108"/>
      <c r="N6" s="47"/>
      <c r="O6" s="47"/>
      <c r="P6" s="48"/>
      <c r="Q6" s="48"/>
      <c r="R6" s="48"/>
      <c r="S6" s="47"/>
      <c r="T6" s="54"/>
      <c r="U6" s="47"/>
      <c r="V6" s="47"/>
      <c r="W6" s="47"/>
      <c r="X6" s="88"/>
      <c r="Y6" s="77"/>
    </row>
    <row r="7" spans="1:26">
      <c r="A7" s="46"/>
      <c r="B7" s="47"/>
      <c r="C7" s="47"/>
      <c r="D7" s="47"/>
      <c r="E7" s="48"/>
      <c r="F7" s="47"/>
      <c r="G7" s="47"/>
      <c r="H7" s="47"/>
      <c r="I7" s="47"/>
      <c r="J7" s="47"/>
      <c r="K7" s="47"/>
      <c r="L7" s="47"/>
      <c r="M7" s="108"/>
      <c r="N7" s="47"/>
      <c r="O7" s="47"/>
      <c r="P7" s="48"/>
      <c r="Q7" s="48"/>
      <c r="R7" s="48"/>
      <c r="S7" s="47"/>
      <c r="T7" s="54"/>
      <c r="U7" s="47"/>
      <c r="V7" s="47"/>
      <c r="W7" s="47"/>
      <c r="X7" s="88"/>
      <c r="Y7" s="77"/>
    </row>
  </sheetData>
  <mergeCells count="1">
    <mergeCell ref="C2:D2"/>
  </mergeCells>
  <phoneticPr fontId="1"/>
  <dataValidations count="2">
    <dataValidation type="list" allowBlank="1" showInputMessage="1" showErrorMessage="1" sqref="C2 A6:A7" xr:uid="{CC440DB0-60A0-49A0-AFDD-71C9A3633F08}">
      <formula1>OFFSET(Round_List,0,1,,1)</formula1>
    </dataValidation>
    <dataValidation type="list" allowBlank="1" showInputMessage="1" showErrorMessage="1" sqref="D6:D7" xr:uid="{B9779F11-50E4-43F3-82ED-268AF02AD41C}">
      <formula1>OFFSET(Code_Sex,0,1,,1)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26AD3-A28C-4065-ACCB-2C5CCCC8B6C7}">
  <sheetPr codeName="ResultInputSheet">
    <tabColor theme="7"/>
  </sheetPr>
  <dimension ref="A1:AY28"/>
  <sheetViews>
    <sheetView showGridLines="0" workbookViewId="0">
      <pane ySplit="10" topLeftCell="A11" activePane="bottomLeft" state="frozen"/>
      <selection pane="bottomLeft" activeCell="D3" sqref="D3"/>
    </sheetView>
  </sheetViews>
  <sheetFormatPr defaultRowHeight="13.5"/>
  <cols>
    <col min="1" max="1" width="1.25" customWidth="1"/>
    <col min="2" max="3" width="5.125" customWidth="1"/>
    <col min="4" max="4" width="13" customWidth="1"/>
    <col min="7" max="8" width="5.5" bestFit="1" customWidth="1"/>
    <col min="9" max="9" width="9.5" bestFit="1" customWidth="1"/>
    <col min="10" max="10" width="5.5" bestFit="1" customWidth="1"/>
    <col min="12" max="12" width="8" bestFit="1" customWidth="1"/>
    <col min="13" max="13" width="5.875" customWidth="1"/>
    <col min="14" max="14" width="13.5" customWidth="1"/>
    <col min="15" max="15" width="5" customWidth="1"/>
    <col min="16" max="17" width="13.5" customWidth="1"/>
    <col min="18" max="18" width="22.25" customWidth="1"/>
    <col min="19" max="20" width="6.75" customWidth="1"/>
    <col min="21" max="21" width="12.25" bestFit="1" customWidth="1"/>
    <col min="23" max="23" width="13" customWidth="1"/>
    <col min="24" max="24" width="5.5" bestFit="1" customWidth="1"/>
    <col min="25" max="26" width="0" hidden="1" customWidth="1"/>
    <col min="27" max="27" width="21.625" hidden="1" customWidth="1"/>
    <col min="28" max="29" width="0" hidden="1" customWidth="1"/>
    <col min="30" max="30" width="1.625" customWidth="1"/>
    <col min="31" max="50" width="0" hidden="1" customWidth="1"/>
  </cols>
  <sheetData>
    <row r="1" spans="1:51" ht="28.5">
      <c r="A1" s="50" t="s">
        <v>314</v>
      </c>
    </row>
    <row r="3" spans="1:51">
      <c r="B3" t="s">
        <v>282</v>
      </c>
      <c r="D3" s="33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</row>
    <row r="4" spans="1:51">
      <c r="B4" t="s">
        <v>283</v>
      </c>
      <c r="D4" s="33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</row>
    <row r="5" spans="1:51">
      <c r="B5" t="s">
        <v>306</v>
      </c>
      <c r="D5" s="65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</row>
    <row r="9" spans="1:51">
      <c r="AE9" t="s">
        <v>312</v>
      </c>
    </row>
    <row r="10" spans="1:51">
      <c r="B10" s="72" t="s">
        <v>284</v>
      </c>
      <c r="C10" s="72" t="s">
        <v>285</v>
      </c>
      <c r="D10" s="72" t="s">
        <v>286</v>
      </c>
      <c r="E10" s="72" t="s">
        <v>291</v>
      </c>
      <c r="F10" s="72" t="s">
        <v>287</v>
      </c>
      <c r="G10" s="72" t="s">
        <v>289</v>
      </c>
      <c r="H10" s="72" t="s">
        <v>292</v>
      </c>
      <c r="I10" s="72" t="s">
        <v>290</v>
      </c>
      <c r="J10" s="72" t="s">
        <v>288</v>
      </c>
      <c r="K10" s="72" t="s">
        <v>319</v>
      </c>
      <c r="L10" s="72" t="s">
        <v>1</v>
      </c>
      <c r="M10" s="72" t="s">
        <v>293</v>
      </c>
      <c r="N10" s="72" t="s">
        <v>233</v>
      </c>
      <c r="O10" s="72" t="s">
        <v>234</v>
      </c>
      <c r="P10" s="72" t="s">
        <v>235</v>
      </c>
      <c r="Q10" s="72" t="s">
        <v>262</v>
      </c>
      <c r="R10" s="72" t="s">
        <v>236</v>
      </c>
      <c r="S10" s="72" t="s">
        <v>237</v>
      </c>
      <c r="T10" s="72" t="s">
        <v>261</v>
      </c>
      <c r="U10" s="72" t="s">
        <v>294</v>
      </c>
      <c r="V10" s="72" t="s">
        <v>298</v>
      </c>
      <c r="W10" s="72" t="s">
        <v>299</v>
      </c>
      <c r="X10" s="72" t="s">
        <v>308</v>
      </c>
      <c r="Y10" s="72" t="s">
        <v>313</v>
      </c>
      <c r="Z10" s="72" t="s">
        <v>311</v>
      </c>
      <c r="AA10" s="72" t="s">
        <v>309</v>
      </c>
      <c r="AB10" s="72"/>
      <c r="AC10" s="72"/>
      <c r="AD10" s="72"/>
      <c r="AE10" s="83" t="s">
        <v>284</v>
      </c>
      <c r="AF10" s="83" t="s">
        <v>313</v>
      </c>
      <c r="AG10" s="83" t="s">
        <v>1</v>
      </c>
      <c r="AH10" s="83" t="s">
        <v>293</v>
      </c>
      <c r="AI10" s="83" t="s">
        <v>233</v>
      </c>
      <c r="AJ10" s="83" t="s">
        <v>234</v>
      </c>
      <c r="AK10" s="83" t="s">
        <v>235</v>
      </c>
      <c r="AL10" s="83" t="s">
        <v>262</v>
      </c>
      <c r="AM10" s="83" t="s">
        <v>236</v>
      </c>
      <c r="AN10" s="83" t="s">
        <v>237</v>
      </c>
      <c r="AO10" s="83" t="s">
        <v>261</v>
      </c>
      <c r="AP10" s="83" t="s">
        <v>294</v>
      </c>
      <c r="AQ10" s="83" t="s">
        <v>298</v>
      </c>
      <c r="AR10" s="83" t="s">
        <v>289</v>
      </c>
      <c r="AS10" s="83" t="s">
        <v>320</v>
      </c>
      <c r="AT10" s="72"/>
      <c r="AU10" s="72"/>
      <c r="AV10" s="72"/>
      <c r="AW10" s="72"/>
      <c r="AX10" s="72"/>
      <c r="AY10" s="72"/>
    </row>
    <row r="11" spans="1:51">
      <c r="Z11" t="s">
        <v>452</v>
      </c>
      <c r="AE11">
        <v>1</v>
      </c>
      <c r="AG11" t="s">
        <v>458</v>
      </c>
      <c r="AH11" s="70" t="s">
        <v>459</v>
      </c>
      <c r="AI11" t="s">
        <v>491</v>
      </c>
      <c r="AK11" t="s">
        <v>460</v>
      </c>
      <c r="AM11" t="s">
        <v>489</v>
      </c>
      <c r="AN11" t="s">
        <v>488</v>
      </c>
      <c r="AO11" t="s">
        <v>321</v>
      </c>
      <c r="AS11" t="s">
        <v>490</v>
      </c>
    </row>
    <row r="12" spans="1:51">
      <c r="Z12" t="s">
        <v>452</v>
      </c>
      <c r="AE12">
        <v>2</v>
      </c>
      <c r="AG12" t="s">
        <v>458</v>
      </c>
      <c r="AH12" s="70" t="s">
        <v>461</v>
      </c>
      <c r="AI12" t="s">
        <v>493</v>
      </c>
      <c r="AK12" t="s">
        <v>462</v>
      </c>
      <c r="AM12" t="s">
        <v>489</v>
      </c>
      <c r="AN12" t="s">
        <v>488</v>
      </c>
      <c r="AO12" t="s">
        <v>321</v>
      </c>
      <c r="AS12" t="s">
        <v>492</v>
      </c>
    </row>
    <row r="13" spans="1:51">
      <c r="Z13" t="s">
        <v>452</v>
      </c>
      <c r="AE13">
        <v>3</v>
      </c>
      <c r="AG13" t="s">
        <v>458</v>
      </c>
      <c r="AH13" s="70" t="s">
        <v>463</v>
      </c>
      <c r="AI13" t="s">
        <v>495</v>
      </c>
      <c r="AK13" t="s">
        <v>464</v>
      </c>
      <c r="AM13" t="s">
        <v>489</v>
      </c>
      <c r="AN13" t="s">
        <v>488</v>
      </c>
      <c r="AO13" t="s">
        <v>321</v>
      </c>
      <c r="AS13" t="s">
        <v>494</v>
      </c>
    </row>
    <row r="14" spans="1:51">
      <c r="Z14" t="s">
        <v>452</v>
      </c>
      <c r="AE14">
        <v>4</v>
      </c>
      <c r="AG14" t="s">
        <v>458</v>
      </c>
      <c r="AH14" s="70" t="s">
        <v>465</v>
      </c>
      <c r="AI14" t="s">
        <v>497</v>
      </c>
      <c r="AK14" t="s">
        <v>466</v>
      </c>
      <c r="AM14" t="s">
        <v>498</v>
      </c>
      <c r="AN14" t="s">
        <v>488</v>
      </c>
      <c r="AO14" t="s">
        <v>321</v>
      </c>
      <c r="AS14" t="s">
        <v>496</v>
      </c>
    </row>
    <row r="15" spans="1:51">
      <c r="Z15" t="s">
        <v>452</v>
      </c>
      <c r="AE15">
        <v>5</v>
      </c>
      <c r="AG15" t="s">
        <v>458</v>
      </c>
      <c r="AH15" s="70" t="s">
        <v>467</v>
      </c>
      <c r="AI15" t="s">
        <v>500</v>
      </c>
      <c r="AK15" t="s">
        <v>468</v>
      </c>
      <c r="AM15" t="s">
        <v>489</v>
      </c>
      <c r="AN15" t="s">
        <v>488</v>
      </c>
      <c r="AO15" t="s">
        <v>321</v>
      </c>
      <c r="AS15" t="s">
        <v>499</v>
      </c>
    </row>
    <row r="16" spans="1:51">
      <c r="Z16" t="s">
        <v>452</v>
      </c>
      <c r="AE16">
        <v>6</v>
      </c>
      <c r="AG16" t="s">
        <v>458</v>
      </c>
      <c r="AH16" s="70" t="s">
        <v>469</v>
      </c>
      <c r="AI16" t="s">
        <v>502</v>
      </c>
      <c r="AK16" t="s">
        <v>470</v>
      </c>
      <c r="AM16" t="s">
        <v>503</v>
      </c>
      <c r="AN16" t="s">
        <v>488</v>
      </c>
      <c r="AO16" t="s">
        <v>321</v>
      </c>
      <c r="AS16" t="s">
        <v>501</v>
      </c>
    </row>
    <row r="17" spans="26:45">
      <c r="Z17" t="s">
        <v>452</v>
      </c>
      <c r="AE17">
        <v>7</v>
      </c>
      <c r="AG17" t="s">
        <v>458</v>
      </c>
      <c r="AH17" s="70" t="s">
        <v>471</v>
      </c>
      <c r="AI17" t="s">
        <v>505</v>
      </c>
      <c r="AK17" t="s">
        <v>472</v>
      </c>
      <c r="AM17" t="s">
        <v>503</v>
      </c>
      <c r="AN17" t="s">
        <v>488</v>
      </c>
      <c r="AO17" t="s">
        <v>321</v>
      </c>
      <c r="AS17" t="s">
        <v>504</v>
      </c>
    </row>
    <row r="18" spans="26:45">
      <c r="Z18" t="s">
        <v>452</v>
      </c>
      <c r="AE18">
        <v>8</v>
      </c>
      <c r="AG18" t="s">
        <v>458</v>
      </c>
      <c r="AH18" s="70" t="s">
        <v>473</v>
      </c>
      <c r="AI18" t="s">
        <v>507</v>
      </c>
      <c r="AK18" t="s">
        <v>474</v>
      </c>
      <c r="AM18" t="s">
        <v>503</v>
      </c>
      <c r="AN18" t="s">
        <v>488</v>
      </c>
      <c r="AO18" t="s">
        <v>321</v>
      </c>
      <c r="AS18" t="s">
        <v>506</v>
      </c>
    </row>
    <row r="19" spans="26:45">
      <c r="Z19" t="s">
        <v>452</v>
      </c>
      <c r="AE19">
        <v>9</v>
      </c>
      <c r="AG19" t="s">
        <v>458</v>
      </c>
      <c r="AH19" s="70" t="s">
        <v>475</v>
      </c>
      <c r="AI19" t="s">
        <v>509</v>
      </c>
      <c r="AK19" t="s">
        <v>476</v>
      </c>
      <c r="AM19" t="s">
        <v>503</v>
      </c>
      <c r="AN19" t="s">
        <v>488</v>
      </c>
      <c r="AO19" t="s">
        <v>321</v>
      </c>
      <c r="AS19" t="s">
        <v>508</v>
      </c>
    </row>
    <row r="20" spans="26:45">
      <c r="Z20" t="s">
        <v>452</v>
      </c>
      <c r="AE20">
        <v>10</v>
      </c>
      <c r="AG20" t="s">
        <v>458</v>
      </c>
      <c r="AH20" s="70" t="s">
        <v>477</v>
      </c>
      <c r="AI20" t="s">
        <v>511</v>
      </c>
      <c r="AK20" t="s">
        <v>478</v>
      </c>
      <c r="AM20" t="s">
        <v>503</v>
      </c>
      <c r="AN20" t="s">
        <v>488</v>
      </c>
      <c r="AO20" t="s">
        <v>321</v>
      </c>
      <c r="AS20" t="s">
        <v>510</v>
      </c>
    </row>
    <row r="21" spans="26:45">
      <c r="Z21" t="s">
        <v>452</v>
      </c>
      <c r="AE21">
        <v>11</v>
      </c>
      <c r="AG21" t="s">
        <v>458</v>
      </c>
      <c r="AH21" s="70" t="s">
        <v>479</v>
      </c>
      <c r="AI21" t="s">
        <v>513</v>
      </c>
      <c r="AK21" t="s">
        <v>480</v>
      </c>
      <c r="AM21" t="s">
        <v>503</v>
      </c>
      <c r="AN21" t="s">
        <v>488</v>
      </c>
      <c r="AO21" t="s">
        <v>321</v>
      </c>
      <c r="AS21" t="s">
        <v>512</v>
      </c>
    </row>
    <row r="22" spans="26:45">
      <c r="Z22" t="s">
        <v>452</v>
      </c>
      <c r="AE22">
        <v>12</v>
      </c>
      <c r="AG22" t="s">
        <v>458</v>
      </c>
      <c r="AH22" s="70" t="s">
        <v>481</v>
      </c>
      <c r="AI22" t="s">
        <v>515</v>
      </c>
      <c r="AK22" t="s">
        <v>482</v>
      </c>
      <c r="AM22" t="s">
        <v>516</v>
      </c>
      <c r="AN22" t="s">
        <v>488</v>
      </c>
      <c r="AO22" t="s">
        <v>321</v>
      </c>
      <c r="AS22" t="s">
        <v>514</v>
      </c>
    </row>
    <row r="23" spans="26:45">
      <c r="Z23" t="s">
        <v>452</v>
      </c>
      <c r="AE23">
        <v>13</v>
      </c>
      <c r="AG23" t="s">
        <v>458</v>
      </c>
      <c r="AH23" s="70" t="s">
        <v>483</v>
      </c>
      <c r="AI23" t="s">
        <v>518</v>
      </c>
      <c r="AK23" t="s">
        <v>484</v>
      </c>
      <c r="AM23" t="s">
        <v>487</v>
      </c>
      <c r="AN23" t="s">
        <v>488</v>
      </c>
      <c r="AO23" t="s">
        <v>321</v>
      </c>
      <c r="AS23" t="s">
        <v>517</v>
      </c>
    </row>
    <row r="24" spans="26:45">
      <c r="Z24" t="s">
        <v>452</v>
      </c>
      <c r="AE24">
        <v>14</v>
      </c>
      <c r="AG24" t="s">
        <v>458</v>
      </c>
      <c r="AH24" s="70" t="s">
        <v>485</v>
      </c>
      <c r="AI24" t="s">
        <v>520</v>
      </c>
      <c r="AK24" t="s">
        <v>486</v>
      </c>
      <c r="AM24" t="s">
        <v>489</v>
      </c>
      <c r="AN24" t="s">
        <v>488</v>
      </c>
      <c r="AO24" t="s">
        <v>321</v>
      </c>
      <c r="AS24" t="s">
        <v>519</v>
      </c>
    </row>
    <row r="25" spans="26:45">
      <c r="Z25" t="s">
        <v>452</v>
      </c>
      <c r="AO25" t="s">
        <v>321</v>
      </c>
      <c r="AS25" t="s">
        <v>361</v>
      </c>
    </row>
    <row r="26" spans="26:45">
      <c r="Z26" t="s">
        <v>452</v>
      </c>
      <c r="AO26" t="s">
        <v>321</v>
      </c>
      <c r="AS26" t="s">
        <v>360</v>
      </c>
    </row>
    <row r="27" spans="26:45">
      <c r="Z27" t="s">
        <v>452</v>
      </c>
      <c r="AO27" t="s">
        <v>321</v>
      </c>
      <c r="AS27" t="s">
        <v>362</v>
      </c>
    </row>
    <row r="28" spans="26:45">
      <c r="Z28" t="s">
        <v>452</v>
      </c>
    </row>
  </sheetData>
  <phoneticPr fontId="1"/>
  <dataValidations count="1">
    <dataValidation type="list" allowBlank="1" showInputMessage="1" showErrorMessage="1" sqref="D3" xr:uid="{678FED6B-4963-4F12-ACC2-B16C0C68C577}">
      <formula1>OFFSET(Round_List,0,1,,1)</formula1>
    </dataValidation>
  </dataValidation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1DFDD-F40D-4594-9718-7CD4D45E8B6F}">
  <sheetPr codeName="QualifierRotterySheet"/>
  <dimension ref="A1:AE11"/>
  <sheetViews>
    <sheetView showGridLines="0" workbookViewId="0">
      <selection activeCell="B13" sqref="B13"/>
    </sheetView>
  </sheetViews>
  <sheetFormatPr defaultRowHeight="13.5"/>
  <cols>
    <col min="1" max="1" width="1.625" customWidth="1"/>
    <col min="2" max="4" width="5.125" customWidth="1"/>
    <col min="5" max="5" width="13" customWidth="1"/>
    <col min="6" max="6" width="5.125" customWidth="1"/>
    <col min="7" max="7" width="8" bestFit="1" customWidth="1"/>
    <col min="8" max="8" width="5.875" customWidth="1"/>
    <col min="9" max="9" width="13.5" customWidth="1"/>
    <col min="10" max="10" width="5" customWidth="1"/>
    <col min="11" max="12" width="13.5" customWidth="1"/>
    <col min="13" max="13" width="22.25" customWidth="1"/>
    <col min="14" max="15" width="6.75" customWidth="1"/>
    <col min="16" max="16" width="12.25" bestFit="1" customWidth="1"/>
    <col min="18" max="19" width="0" hidden="1" customWidth="1"/>
  </cols>
  <sheetData>
    <row r="1" spans="1:31" ht="28.5">
      <c r="A1" s="50" t="s">
        <v>332</v>
      </c>
    </row>
    <row r="2" spans="1:31">
      <c r="B2" s="114" t="s">
        <v>241</v>
      </c>
      <c r="C2" s="114"/>
      <c r="D2" s="114"/>
      <c r="E2" s="33" t="s">
        <v>333</v>
      </c>
      <c r="F2" s="71">
        <v>1</v>
      </c>
    </row>
    <row r="3" spans="1:31">
      <c r="B3" s="114" t="s">
        <v>328</v>
      </c>
      <c r="C3" s="114"/>
      <c r="D3" s="114"/>
      <c r="E3" s="33">
        <v>1</v>
      </c>
      <c r="F3" s="33" t="s">
        <v>331</v>
      </c>
    </row>
    <row r="9" spans="1:31">
      <c r="B9">
        <f>COUNTA($B$11)</f>
        <v>0</v>
      </c>
      <c r="C9" t="s">
        <v>342</v>
      </c>
    </row>
    <row r="10" spans="1:31">
      <c r="B10" s="72" t="s">
        <v>330</v>
      </c>
      <c r="C10" s="72" t="s">
        <v>239</v>
      </c>
      <c r="D10" s="72" t="s">
        <v>329</v>
      </c>
      <c r="E10" s="72" t="s">
        <v>295</v>
      </c>
      <c r="F10" s="72" t="s">
        <v>240</v>
      </c>
      <c r="G10" s="72" t="s">
        <v>1</v>
      </c>
      <c r="H10" s="72" t="s">
        <v>293</v>
      </c>
      <c r="I10" s="72" t="s">
        <v>233</v>
      </c>
      <c r="J10" s="72" t="s">
        <v>234</v>
      </c>
      <c r="K10" s="72" t="s">
        <v>235</v>
      </c>
      <c r="L10" s="72" t="s">
        <v>262</v>
      </c>
      <c r="M10" s="72" t="s">
        <v>236</v>
      </c>
      <c r="N10" s="72" t="s">
        <v>237</v>
      </c>
      <c r="O10" s="72" t="s">
        <v>261</v>
      </c>
      <c r="P10" s="72" t="s">
        <v>294</v>
      </c>
      <c r="Q10" s="72" t="s">
        <v>248</v>
      </c>
      <c r="R10" s="72" t="s">
        <v>263</v>
      </c>
      <c r="S10" s="72" t="s">
        <v>193</v>
      </c>
    </row>
    <row r="11" spans="1:31">
      <c r="B11" s="73"/>
      <c r="C11" s="73"/>
      <c r="D11" s="73"/>
      <c r="E11" s="74"/>
      <c r="F11" s="73"/>
      <c r="G11" s="73"/>
      <c r="H11" s="73"/>
      <c r="I11" s="73"/>
      <c r="J11" s="73"/>
      <c r="K11" s="73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</row>
  </sheetData>
  <mergeCells count="2">
    <mergeCell ref="B2:D2"/>
    <mergeCell ref="B3:D3"/>
  </mergeCells>
  <phoneticPr fontId="1"/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6798F-884F-495A-A1AF-20D936136330}">
  <sheetPr codeName="ResultListSheet">
    <tabColor theme="4"/>
  </sheetPr>
  <dimension ref="A1:AH92"/>
  <sheetViews>
    <sheetView zoomScaleNormal="100" workbookViewId="0">
      <selection activeCell="A3" sqref="A3"/>
    </sheetView>
  </sheetViews>
  <sheetFormatPr defaultRowHeight="13.5"/>
  <cols>
    <col min="14" max="14" width="13.875" bestFit="1" customWidth="1"/>
    <col min="20" max="20" width="17.25" bestFit="1" customWidth="1"/>
  </cols>
  <sheetData>
    <row r="1" spans="1:34">
      <c r="A1" t="s">
        <v>305</v>
      </c>
      <c r="AE1" t="s">
        <v>304</v>
      </c>
    </row>
    <row r="2" spans="1:34">
      <c r="A2" s="33" t="s">
        <v>193</v>
      </c>
      <c r="B2" s="33" t="s">
        <v>241</v>
      </c>
      <c r="C2" s="33" t="s">
        <v>239</v>
      </c>
      <c r="D2" s="33" t="s">
        <v>240</v>
      </c>
      <c r="E2" s="33" t="s">
        <v>242</v>
      </c>
      <c r="F2" s="33" t="s">
        <v>243</v>
      </c>
      <c r="G2" s="33" t="s">
        <v>295</v>
      </c>
      <c r="H2" s="33" t="s">
        <v>302</v>
      </c>
      <c r="I2" s="33" t="s">
        <v>244</v>
      </c>
      <c r="J2" s="33" t="s">
        <v>245</v>
      </c>
      <c r="K2" s="33" t="s">
        <v>296</v>
      </c>
      <c r="L2" s="33" t="s">
        <v>297</v>
      </c>
      <c r="M2" s="33" t="s">
        <v>246</v>
      </c>
      <c r="N2" s="33" t="s">
        <v>318</v>
      </c>
      <c r="O2" s="33" t="s">
        <v>300</v>
      </c>
      <c r="P2" s="33" t="s">
        <v>327</v>
      </c>
      <c r="Q2" s="33" t="s">
        <v>301</v>
      </c>
      <c r="R2" s="33" t="s">
        <v>247</v>
      </c>
      <c r="S2" s="33" t="s">
        <v>307</v>
      </c>
      <c r="T2" s="33" t="s">
        <v>310</v>
      </c>
      <c r="AE2" s="33" t="s">
        <v>241</v>
      </c>
      <c r="AF2" s="33" t="s">
        <v>239</v>
      </c>
      <c r="AG2" s="33" t="s">
        <v>303</v>
      </c>
      <c r="AH2" s="33" t="s">
        <v>309</v>
      </c>
    </row>
    <row r="3" spans="1:34">
      <c r="F3" s="69"/>
      <c r="G3" s="70"/>
      <c r="T3" s="68"/>
      <c r="U3" s="68"/>
    </row>
    <row r="4" spans="1:34">
      <c r="F4" s="69"/>
      <c r="G4" s="70"/>
      <c r="T4" s="68"/>
      <c r="U4" s="68"/>
    </row>
    <row r="5" spans="1:34">
      <c r="F5" s="69"/>
      <c r="G5" s="70"/>
      <c r="T5" s="68"/>
      <c r="U5" s="68"/>
    </row>
    <row r="6" spans="1:34">
      <c r="F6" s="69"/>
      <c r="G6" s="70"/>
      <c r="T6" s="68"/>
      <c r="U6" s="68"/>
    </row>
    <row r="7" spans="1:34">
      <c r="F7" s="69"/>
      <c r="G7" s="70"/>
      <c r="T7" s="68"/>
      <c r="U7" s="68"/>
    </row>
    <row r="8" spans="1:34">
      <c r="F8" s="69"/>
      <c r="G8" s="70"/>
      <c r="T8" s="68"/>
      <c r="U8" s="68"/>
    </row>
    <row r="9" spans="1:34">
      <c r="F9" s="70"/>
      <c r="G9" s="70"/>
      <c r="T9" s="68"/>
      <c r="U9" s="68"/>
    </row>
    <row r="10" spans="1:34">
      <c r="F10" s="69"/>
      <c r="G10" s="70"/>
      <c r="T10" s="68"/>
      <c r="U10" s="68"/>
    </row>
    <row r="11" spans="1:34">
      <c r="F11" s="69"/>
      <c r="G11" s="70"/>
      <c r="T11" s="68"/>
      <c r="U11" s="68"/>
    </row>
    <row r="12" spans="1:34">
      <c r="F12" s="69"/>
      <c r="G12" s="70"/>
      <c r="T12" s="68"/>
      <c r="U12" s="68"/>
    </row>
    <row r="13" spans="1:34">
      <c r="F13" s="69"/>
      <c r="G13" s="70"/>
      <c r="T13" s="68"/>
      <c r="U13" s="68"/>
    </row>
    <row r="14" spans="1:34">
      <c r="F14" s="70"/>
      <c r="G14" s="70"/>
      <c r="T14" s="68"/>
      <c r="U14" s="68"/>
    </row>
    <row r="15" spans="1:34">
      <c r="F15" s="69"/>
      <c r="G15" s="70"/>
      <c r="T15" s="68"/>
      <c r="U15" s="68"/>
    </row>
    <row r="16" spans="1:34">
      <c r="F16" s="70"/>
      <c r="G16" s="70"/>
      <c r="T16" s="68"/>
    </row>
    <row r="17" spans="6:20">
      <c r="F17" s="70"/>
      <c r="G17" s="70"/>
      <c r="T17" s="68"/>
    </row>
    <row r="18" spans="6:20">
      <c r="F18" s="70"/>
      <c r="G18" s="70"/>
      <c r="T18" s="68"/>
    </row>
    <row r="19" spans="6:20">
      <c r="F19" s="70"/>
      <c r="G19" s="70"/>
      <c r="T19" s="68"/>
    </row>
    <row r="20" spans="6:20">
      <c r="F20" s="70"/>
      <c r="G20" s="70"/>
      <c r="T20" s="68"/>
    </row>
    <row r="21" spans="6:20">
      <c r="F21" s="70"/>
      <c r="G21" s="70"/>
      <c r="T21" s="68"/>
    </row>
    <row r="22" spans="6:20">
      <c r="F22" s="70"/>
      <c r="G22" s="70"/>
      <c r="T22" s="68"/>
    </row>
    <row r="23" spans="6:20">
      <c r="F23" s="70"/>
      <c r="G23" s="70"/>
      <c r="T23" s="68"/>
    </row>
    <row r="24" spans="6:20">
      <c r="F24" s="70"/>
      <c r="G24" s="70"/>
      <c r="T24" s="68"/>
    </row>
    <row r="25" spans="6:20">
      <c r="F25" s="70"/>
      <c r="G25" s="70"/>
      <c r="T25" s="68"/>
    </row>
    <row r="26" spans="6:20">
      <c r="F26" s="70"/>
      <c r="G26" s="70"/>
      <c r="T26" s="68"/>
    </row>
    <row r="27" spans="6:20">
      <c r="F27" s="70"/>
      <c r="G27" s="70"/>
      <c r="T27" s="68"/>
    </row>
    <row r="28" spans="6:20">
      <c r="F28" s="70"/>
      <c r="G28" s="70"/>
      <c r="T28" s="68"/>
    </row>
    <row r="29" spans="6:20">
      <c r="F29" s="70"/>
      <c r="G29" s="70"/>
      <c r="T29" s="68"/>
    </row>
    <row r="30" spans="6:20">
      <c r="F30" s="70"/>
      <c r="G30" s="70"/>
      <c r="T30" s="68"/>
    </row>
    <row r="31" spans="6:20">
      <c r="F31" s="70"/>
      <c r="G31" s="70"/>
      <c r="T31" s="68"/>
    </row>
    <row r="32" spans="6:20">
      <c r="F32" s="70"/>
      <c r="G32" s="70"/>
      <c r="T32" s="68"/>
    </row>
    <row r="33" spans="6:20">
      <c r="F33" s="70"/>
      <c r="G33" s="70"/>
      <c r="T33" s="68"/>
    </row>
    <row r="34" spans="6:20">
      <c r="F34" s="70"/>
      <c r="G34" s="70"/>
      <c r="T34" s="68"/>
    </row>
    <row r="35" spans="6:20">
      <c r="F35" s="70"/>
      <c r="G35" s="70"/>
      <c r="T35" s="68"/>
    </row>
    <row r="36" spans="6:20">
      <c r="F36" s="70"/>
      <c r="G36" s="70"/>
      <c r="T36" s="68"/>
    </row>
    <row r="37" spans="6:20">
      <c r="F37" s="70"/>
      <c r="G37" s="70"/>
      <c r="T37" s="68"/>
    </row>
    <row r="38" spans="6:20">
      <c r="F38" s="70"/>
      <c r="G38" s="70"/>
      <c r="T38" s="68"/>
    </row>
    <row r="39" spans="6:20">
      <c r="F39" s="70"/>
      <c r="G39" s="70"/>
      <c r="T39" s="68"/>
    </row>
    <row r="40" spans="6:20">
      <c r="F40" s="70"/>
      <c r="G40" s="70"/>
      <c r="T40" s="68"/>
    </row>
    <row r="41" spans="6:20">
      <c r="F41" s="70"/>
      <c r="G41" s="70"/>
      <c r="T41" s="68"/>
    </row>
    <row r="42" spans="6:20">
      <c r="F42" s="70"/>
      <c r="G42" s="70"/>
      <c r="T42" s="68"/>
    </row>
    <row r="43" spans="6:20">
      <c r="F43" s="70"/>
      <c r="G43" s="70"/>
      <c r="T43" s="68"/>
    </row>
    <row r="44" spans="6:20">
      <c r="F44" s="70"/>
      <c r="G44" s="70"/>
      <c r="T44" s="68"/>
    </row>
    <row r="45" spans="6:20">
      <c r="F45" s="70"/>
      <c r="G45" s="70"/>
      <c r="T45" s="68"/>
    </row>
    <row r="46" spans="6:20">
      <c r="F46" s="70"/>
      <c r="G46" s="70"/>
      <c r="T46" s="68"/>
    </row>
    <row r="47" spans="6:20">
      <c r="F47" s="70"/>
      <c r="G47" s="70"/>
      <c r="T47" s="68"/>
    </row>
    <row r="48" spans="6:20">
      <c r="F48" s="70"/>
      <c r="G48" s="70"/>
      <c r="T48" s="68"/>
    </row>
    <row r="49" spans="6:20">
      <c r="F49" s="70"/>
      <c r="G49" s="70"/>
      <c r="T49" s="68"/>
    </row>
    <row r="50" spans="6:20">
      <c r="F50" s="70"/>
      <c r="G50" s="70"/>
      <c r="T50" s="68"/>
    </row>
    <row r="51" spans="6:20">
      <c r="F51" s="70"/>
      <c r="G51" s="70"/>
      <c r="T51" s="68"/>
    </row>
    <row r="52" spans="6:20">
      <c r="F52" s="70"/>
      <c r="G52" s="70"/>
      <c r="T52" s="68"/>
    </row>
    <row r="53" spans="6:20">
      <c r="F53" s="70"/>
      <c r="G53" s="70"/>
      <c r="T53" s="68"/>
    </row>
    <row r="54" spans="6:20">
      <c r="F54" s="70"/>
      <c r="G54" s="70"/>
      <c r="T54" s="68"/>
    </row>
    <row r="55" spans="6:20">
      <c r="F55" s="70"/>
      <c r="G55" s="70"/>
      <c r="T55" s="68"/>
    </row>
    <row r="56" spans="6:20">
      <c r="F56" s="70"/>
      <c r="G56" s="70"/>
      <c r="T56" s="68"/>
    </row>
    <row r="57" spans="6:20">
      <c r="F57" s="70"/>
      <c r="G57" s="70"/>
      <c r="T57" s="68"/>
    </row>
    <row r="58" spans="6:20">
      <c r="F58" s="70"/>
      <c r="G58" s="70"/>
      <c r="T58" s="68"/>
    </row>
    <row r="59" spans="6:20">
      <c r="F59" s="70"/>
      <c r="G59" s="70"/>
      <c r="T59" s="68"/>
    </row>
    <row r="60" spans="6:20">
      <c r="F60" s="70"/>
      <c r="G60" s="70"/>
      <c r="T60" s="68"/>
    </row>
    <row r="61" spans="6:20">
      <c r="F61" s="70"/>
      <c r="G61" s="70"/>
      <c r="T61" s="68"/>
    </row>
    <row r="62" spans="6:20">
      <c r="F62" s="70"/>
      <c r="G62" s="70"/>
      <c r="T62" s="68"/>
    </row>
    <row r="63" spans="6:20">
      <c r="F63" s="70"/>
      <c r="G63" s="70"/>
      <c r="T63" s="68"/>
    </row>
    <row r="64" spans="6:20">
      <c r="F64" s="70"/>
      <c r="G64" s="70"/>
      <c r="T64" s="68"/>
    </row>
    <row r="65" spans="6:20">
      <c r="F65" s="70"/>
      <c r="G65" s="70"/>
      <c r="T65" s="68"/>
    </row>
    <row r="66" spans="6:20">
      <c r="F66" s="70"/>
      <c r="G66" s="70"/>
      <c r="T66" s="68"/>
    </row>
    <row r="67" spans="6:20">
      <c r="F67" s="70"/>
      <c r="G67" s="70"/>
      <c r="T67" s="68"/>
    </row>
    <row r="68" spans="6:20">
      <c r="F68" s="70"/>
      <c r="G68" s="70"/>
      <c r="T68" s="68"/>
    </row>
    <row r="69" spans="6:20">
      <c r="F69" s="70"/>
      <c r="G69" s="70"/>
      <c r="T69" s="68"/>
    </row>
    <row r="70" spans="6:20">
      <c r="F70" s="70"/>
      <c r="G70" s="70"/>
      <c r="T70" s="68"/>
    </row>
    <row r="71" spans="6:20">
      <c r="F71" s="70"/>
      <c r="G71" s="70"/>
      <c r="T71" s="68"/>
    </row>
    <row r="72" spans="6:20">
      <c r="F72" s="70"/>
      <c r="G72" s="70"/>
      <c r="T72" s="68"/>
    </row>
    <row r="73" spans="6:20">
      <c r="F73" s="70"/>
      <c r="G73" s="70"/>
      <c r="T73" s="68"/>
    </row>
    <row r="74" spans="6:20">
      <c r="F74" s="70"/>
      <c r="G74" s="70"/>
      <c r="T74" s="68"/>
    </row>
    <row r="75" spans="6:20">
      <c r="F75" s="70"/>
      <c r="G75" s="70"/>
      <c r="T75" s="68"/>
    </row>
    <row r="76" spans="6:20">
      <c r="F76" s="70"/>
      <c r="G76" s="70"/>
      <c r="T76" s="68"/>
    </row>
    <row r="77" spans="6:20">
      <c r="F77" s="70"/>
      <c r="G77" s="70"/>
      <c r="T77" s="68"/>
    </row>
    <row r="78" spans="6:20">
      <c r="F78" s="70"/>
      <c r="G78" s="70"/>
      <c r="T78" s="68"/>
    </row>
    <row r="79" spans="6:20">
      <c r="F79" s="70"/>
      <c r="G79" s="70"/>
      <c r="T79" s="68"/>
    </row>
    <row r="80" spans="6:20">
      <c r="F80" s="70"/>
      <c r="G80" s="70"/>
      <c r="T80" s="68"/>
    </row>
    <row r="81" spans="6:20">
      <c r="F81" s="70"/>
      <c r="G81" s="70"/>
      <c r="T81" s="68"/>
    </row>
    <row r="82" spans="6:20">
      <c r="F82" s="70"/>
      <c r="G82" s="70"/>
      <c r="T82" s="68"/>
    </row>
    <row r="83" spans="6:20">
      <c r="F83" s="70"/>
      <c r="G83" s="70"/>
      <c r="T83" s="68"/>
    </row>
    <row r="84" spans="6:20">
      <c r="F84" s="70"/>
      <c r="G84" s="70"/>
      <c r="T84" s="68"/>
    </row>
    <row r="85" spans="6:20">
      <c r="F85" s="70"/>
      <c r="G85" s="70"/>
      <c r="T85" s="68"/>
    </row>
    <row r="86" spans="6:20">
      <c r="F86" s="70"/>
      <c r="G86" s="70"/>
      <c r="T86" s="68"/>
    </row>
    <row r="87" spans="6:20">
      <c r="F87" s="70"/>
      <c r="G87" s="70"/>
      <c r="T87" s="68"/>
    </row>
    <row r="88" spans="6:20">
      <c r="F88" s="70"/>
      <c r="G88" s="70"/>
      <c r="T88" s="68"/>
    </row>
    <row r="89" spans="6:20">
      <c r="F89" s="70"/>
      <c r="G89" s="70"/>
      <c r="T89" s="68"/>
    </row>
    <row r="90" spans="6:20">
      <c r="F90" s="70"/>
      <c r="G90" s="70"/>
      <c r="T90" s="68"/>
    </row>
    <row r="91" spans="6:20">
      <c r="F91" s="70"/>
      <c r="G91" s="70"/>
      <c r="T91" s="68"/>
    </row>
    <row r="92" spans="6:20">
      <c r="F92" s="70"/>
      <c r="G92" s="70"/>
      <c r="T92" s="68"/>
    </row>
  </sheetData>
  <sortState xmlns:xlrd2="http://schemas.microsoft.com/office/spreadsheetml/2017/richdata2" ref="A60:T111">
    <sortCondition ref="O59:O111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068AB-6321-4264-976C-D9D780AC98F2}">
  <sheetPr codeName="ResultSubListSheet">
    <tabColor theme="4"/>
  </sheetPr>
  <dimension ref="A1:AF119"/>
  <sheetViews>
    <sheetView workbookViewId="0">
      <selection activeCell="A3" sqref="A3"/>
    </sheetView>
  </sheetViews>
  <sheetFormatPr defaultRowHeight="13.5"/>
  <cols>
    <col min="5" max="5" width="16.125" bestFit="1" customWidth="1"/>
    <col min="6" max="20" width="1.625" customWidth="1"/>
    <col min="32" max="32" width="18.375" bestFit="1" customWidth="1"/>
    <col min="33" max="40" width="1.625" customWidth="1"/>
  </cols>
  <sheetData>
    <row r="1" spans="1:32">
      <c r="A1" t="s">
        <v>352</v>
      </c>
      <c r="U1" t="s">
        <v>353</v>
      </c>
    </row>
    <row r="2" spans="1:32">
      <c r="A2" s="33" t="s">
        <v>193</v>
      </c>
      <c r="B2" s="33" t="s">
        <v>241</v>
      </c>
      <c r="C2" s="33" t="s">
        <v>239</v>
      </c>
      <c r="D2" s="33" t="s">
        <v>303</v>
      </c>
      <c r="E2" s="33" t="s">
        <v>309</v>
      </c>
      <c r="U2" s="33" t="s">
        <v>193</v>
      </c>
      <c r="V2" s="33" t="s">
        <v>241</v>
      </c>
      <c r="W2" s="33" t="s">
        <v>239</v>
      </c>
      <c r="X2" s="33" t="s">
        <v>240</v>
      </c>
      <c r="Y2" s="33" t="s">
        <v>320</v>
      </c>
      <c r="Z2" s="33" t="s">
        <v>354</v>
      </c>
      <c r="AA2" s="33" t="s">
        <v>242</v>
      </c>
      <c r="AB2" s="33" t="s">
        <v>355</v>
      </c>
      <c r="AC2" s="33" t="s">
        <v>303</v>
      </c>
      <c r="AD2" s="33" t="s">
        <v>244</v>
      </c>
      <c r="AE2" s="33" t="s">
        <v>356</v>
      </c>
      <c r="AF2" s="33" t="s">
        <v>357</v>
      </c>
    </row>
    <row r="3" spans="1:32">
      <c r="E3" s="68"/>
      <c r="AB3" s="69"/>
      <c r="AF3" s="68"/>
    </row>
    <row r="4" spans="1:32">
      <c r="E4" s="68"/>
      <c r="AB4" s="70"/>
      <c r="AF4" s="68"/>
    </row>
    <row r="5" spans="1:32">
      <c r="E5" s="68"/>
      <c r="AB5" s="70"/>
      <c r="AF5" s="68"/>
    </row>
    <row r="6" spans="1:32">
      <c r="E6" s="68"/>
      <c r="AB6" s="69"/>
      <c r="AF6" s="68"/>
    </row>
    <row r="7" spans="1:32">
      <c r="E7" s="68"/>
      <c r="AB7" s="69"/>
      <c r="AF7" s="68"/>
    </row>
    <row r="8" spans="1:32">
      <c r="E8" s="68"/>
      <c r="AB8" s="69"/>
      <c r="AF8" s="68"/>
    </row>
    <row r="9" spans="1:32">
      <c r="E9" s="68"/>
      <c r="AB9" s="69"/>
      <c r="AF9" s="68"/>
    </row>
    <row r="10" spans="1:32">
      <c r="E10" s="68"/>
      <c r="AB10" s="69"/>
      <c r="AF10" s="68"/>
    </row>
    <row r="11" spans="1:32">
      <c r="E11" s="68"/>
      <c r="AB11" s="69"/>
      <c r="AF11" s="68"/>
    </row>
    <row r="12" spans="1:32">
      <c r="E12" s="68"/>
      <c r="AB12" s="69"/>
      <c r="AF12" s="68"/>
    </row>
    <row r="13" spans="1:32">
      <c r="AB13" s="69"/>
      <c r="AF13" s="68"/>
    </row>
    <row r="14" spans="1:32">
      <c r="AB14" s="69"/>
      <c r="AF14" s="68"/>
    </row>
    <row r="15" spans="1:32">
      <c r="AB15" s="69"/>
      <c r="AF15" s="68"/>
    </row>
    <row r="16" spans="1:32">
      <c r="AB16" s="69"/>
      <c r="AF16" s="68"/>
    </row>
    <row r="17" spans="28:32">
      <c r="AB17" s="70"/>
      <c r="AF17" s="68"/>
    </row>
    <row r="18" spans="28:32">
      <c r="AB18" s="70"/>
      <c r="AF18" s="68"/>
    </row>
    <row r="19" spans="28:32">
      <c r="AB19" s="69"/>
      <c r="AF19" s="68"/>
    </row>
    <row r="20" spans="28:32">
      <c r="AB20" s="69"/>
      <c r="AF20" s="68"/>
    </row>
    <row r="21" spans="28:32">
      <c r="AB21" s="69"/>
      <c r="AF21" s="68"/>
    </row>
    <row r="22" spans="28:32">
      <c r="AB22" s="69"/>
      <c r="AF22" s="68"/>
    </row>
    <row r="23" spans="28:32">
      <c r="AB23" s="69"/>
      <c r="AF23" s="68"/>
    </row>
    <row r="24" spans="28:32">
      <c r="AB24" s="69"/>
      <c r="AF24" s="68"/>
    </row>
    <row r="25" spans="28:32">
      <c r="AB25" s="69"/>
      <c r="AF25" s="68"/>
    </row>
    <row r="26" spans="28:32">
      <c r="AB26" s="69"/>
      <c r="AF26" s="68"/>
    </row>
    <row r="27" spans="28:32">
      <c r="AB27" s="69"/>
      <c r="AF27" s="68"/>
    </row>
    <row r="28" spans="28:32">
      <c r="AB28" s="69"/>
      <c r="AF28" s="68"/>
    </row>
    <row r="29" spans="28:32">
      <c r="AB29" s="70"/>
      <c r="AF29" s="68"/>
    </row>
    <row r="30" spans="28:32">
      <c r="AB30" s="70"/>
      <c r="AF30" s="68"/>
    </row>
    <row r="31" spans="28:32">
      <c r="AB31" s="70"/>
      <c r="AF31" s="68"/>
    </row>
    <row r="32" spans="28:32">
      <c r="AB32" s="70"/>
      <c r="AF32" s="68"/>
    </row>
    <row r="33" spans="28:32">
      <c r="AB33" s="70"/>
      <c r="AF33" s="68"/>
    </row>
    <row r="34" spans="28:32">
      <c r="AB34" s="70"/>
      <c r="AF34" s="68"/>
    </row>
    <row r="35" spans="28:32">
      <c r="AB35" s="70"/>
      <c r="AF35" s="68"/>
    </row>
    <row r="36" spans="28:32">
      <c r="AB36" s="70"/>
      <c r="AF36" s="68"/>
    </row>
    <row r="37" spans="28:32">
      <c r="AB37" s="70"/>
      <c r="AF37" s="68"/>
    </row>
    <row r="38" spans="28:32">
      <c r="AB38" s="70"/>
      <c r="AF38" s="68"/>
    </row>
    <row r="39" spans="28:32">
      <c r="AB39" s="70"/>
      <c r="AF39" s="68"/>
    </row>
    <row r="40" spans="28:32">
      <c r="AB40" s="70"/>
      <c r="AF40" s="68"/>
    </row>
    <row r="41" spans="28:32">
      <c r="AB41" s="70"/>
      <c r="AF41" s="68"/>
    </row>
    <row r="42" spans="28:32">
      <c r="AB42" s="70"/>
      <c r="AF42" s="68"/>
    </row>
    <row r="43" spans="28:32">
      <c r="AB43" s="70"/>
      <c r="AF43" s="68"/>
    </row>
    <row r="44" spans="28:32">
      <c r="AB44" s="70"/>
      <c r="AF44" s="68"/>
    </row>
    <row r="45" spans="28:32">
      <c r="AB45" s="70"/>
      <c r="AF45" s="68"/>
    </row>
    <row r="46" spans="28:32">
      <c r="AB46" s="70"/>
      <c r="AF46" s="68"/>
    </row>
    <row r="47" spans="28:32">
      <c r="AB47" s="70"/>
      <c r="AF47" s="68"/>
    </row>
    <row r="48" spans="28:32">
      <c r="AB48" s="70"/>
      <c r="AF48" s="68"/>
    </row>
    <row r="49" spans="28:32">
      <c r="AB49" s="70"/>
      <c r="AF49" s="68"/>
    </row>
    <row r="50" spans="28:32">
      <c r="AB50" s="70"/>
      <c r="AF50" s="68"/>
    </row>
    <row r="51" spans="28:32">
      <c r="AB51" s="70"/>
      <c r="AF51" s="68"/>
    </row>
    <row r="52" spans="28:32">
      <c r="AB52" s="70"/>
      <c r="AF52" s="68"/>
    </row>
    <row r="53" spans="28:32">
      <c r="AB53" s="70"/>
      <c r="AF53" s="68"/>
    </row>
    <row r="54" spans="28:32">
      <c r="AB54" s="70"/>
      <c r="AF54" s="68"/>
    </row>
    <row r="55" spans="28:32">
      <c r="AB55" s="70"/>
      <c r="AF55" s="68"/>
    </row>
    <row r="56" spans="28:32">
      <c r="AB56" s="70"/>
      <c r="AF56" s="68"/>
    </row>
    <row r="57" spans="28:32">
      <c r="AB57" s="70"/>
      <c r="AF57" s="68"/>
    </row>
    <row r="58" spans="28:32">
      <c r="AB58" s="70"/>
      <c r="AF58" s="68"/>
    </row>
    <row r="59" spans="28:32">
      <c r="AB59" s="70"/>
      <c r="AF59" s="68"/>
    </row>
    <row r="60" spans="28:32">
      <c r="AB60" s="70"/>
      <c r="AF60" s="68"/>
    </row>
    <row r="61" spans="28:32">
      <c r="AB61" s="70"/>
      <c r="AF61" s="68"/>
    </row>
    <row r="62" spans="28:32">
      <c r="AB62" s="70"/>
      <c r="AF62" s="68"/>
    </row>
    <row r="63" spans="28:32">
      <c r="AB63" s="70"/>
      <c r="AF63" s="68"/>
    </row>
    <row r="64" spans="28:32">
      <c r="AB64" s="70"/>
      <c r="AF64" s="68"/>
    </row>
    <row r="65" spans="28:32">
      <c r="AB65" s="70"/>
      <c r="AF65" s="68"/>
    </row>
    <row r="66" spans="28:32">
      <c r="AB66" s="70"/>
      <c r="AF66" s="68"/>
    </row>
    <row r="67" spans="28:32">
      <c r="AB67" s="70"/>
      <c r="AF67" s="68"/>
    </row>
    <row r="68" spans="28:32">
      <c r="AB68" s="70"/>
      <c r="AF68" s="68"/>
    </row>
    <row r="69" spans="28:32">
      <c r="AB69" s="70"/>
      <c r="AF69" s="68"/>
    </row>
    <row r="70" spans="28:32">
      <c r="AB70" s="70"/>
      <c r="AF70" s="68"/>
    </row>
    <row r="71" spans="28:32">
      <c r="AB71" s="70"/>
      <c r="AF71" s="68"/>
    </row>
    <row r="72" spans="28:32">
      <c r="AB72" s="70"/>
      <c r="AF72" s="68"/>
    </row>
    <row r="73" spans="28:32">
      <c r="AB73" s="70"/>
      <c r="AF73" s="68"/>
    </row>
    <row r="74" spans="28:32">
      <c r="AB74" s="70"/>
      <c r="AF74" s="68"/>
    </row>
    <row r="75" spans="28:32">
      <c r="AB75" s="70"/>
      <c r="AF75" s="68"/>
    </row>
    <row r="76" spans="28:32">
      <c r="AB76" s="70"/>
      <c r="AF76" s="68"/>
    </row>
    <row r="77" spans="28:32">
      <c r="AB77" s="70"/>
      <c r="AF77" s="68"/>
    </row>
    <row r="78" spans="28:32">
      <c r="AB78" s="70"/>
      <c r="AF78" s="68"/>
    </row>
    <row r="79" spans="28:32">
      <c r="AB79" s="70"/>
      <c r="AF79" s="68"/>
    </row>
    <row r="80" spans="28:32">
      <c r="AB80" s="70"/>
      <c r="AF80" s="68"/>
    </row>
    <row r="81" spans="28:32">
      <c r="AB81" s="70"/>
      <c r="AF81" s="68"/>
    </row>
    <row r="82" spans="28:32">
      <c r="AB82" s="70"/>
      <c r="AF82" s="68"/>
    </row>
    <row r="83" spans="28:32">
      <c r="AB83" s="70"/>
      <c r="AF83" s="68"/>
    </row>
    <row r="84" spans="28:32">
      <c r="AB84" s="70"/>
      <c r="AF84" s="68"/>
    </row>
    <row r="85" spans="28:32">
      <c r="AB85" s="70"/>
      <c r="AF85" s="68"/>
    </row>
    <row r="86" spans="28:32">
      <c r="AB86" s="70"/>
      <c r="AF86" s="68"/>
    </row>
    <row r="87" spans="28:32">
      <c r="AB87" s="70"/>
      <c r="AF87" s="68"/>
    </row>
    <row r="88" spans="28:32">
      <c r="AB88" s="70"/>
      <c r="AF88" s="68"/>
    </row>
    <row r="89" spans="28:32">
      <c r="AB89" s="70"/>
      <c r="AF89" s="68"/>
    </row>
    <row r="90" spans="28:32">
      <c r="AB90" s="70"/>
      <c r="AF90" s="68"/>
    </row>
    <row r="91" spans="28:32">
      <c r="AB91" s="70"/>
      <c r="AF91" s="68"/>
    </row>
    <row r="92" spans="28:32">
      <c r="AB92" s="70"/>
      <c r="AF92" s="68"/>
    </row>
    <row r="93" spans="28:32">
      <c r="AB93" s="70"/>
      <c r="AF93" s="68"/>
    </row>
    <row r="94" spans="28:32">
      <c r="AB94" s="70"/>
      <c r="AF94" s="68"/>
    </row>
    <row r="95" spans="28:32">
      <c r="AB95" s="70"/>
      <c r="AF95" s="68"/>
    </row>
    <row r="96" spans="28:32">
      <c r="AB96" s="70"/>
      <c r="AF96" s="68"/>
    </row>
    <row r="97" spans="28:32">
      <c r="AB97" s="70"/>
      <c r="AF97" s="68"/>
    </row>
    <row r="98" spans="28:32">
      <c r="AB98" s="70"/>
      <c r="AF98" s="68"/>
    </row>
    <row r="99" spans="28:32">
      <c r="AB99" s="70"/>
      <c r="AF99" s="68"/>
    </row>
    <row r="100" spans="28:32">
      <c r="AB100" s="70"/>
      <c r="AF100" s="68"/>
    </row>
    <row r="101" spans="28:32">
      <c r="AB101" s="70"/>
      <c r="AF101" s="68"/>
    </row>
    <row r="102" spans="28:32">
      <c r="AB102" s="70"/>
      <c r="AF102" s="68"/>
    </row>
    <row r="103" spans="28:32">
      <c r="AB103" s="70"/>
      <c r="AF103" s="68"/>
    </row>
    <row r="104" spans="28:32">
      <c r="AB104" s="70"/>
      <c r="AF104" s="68"/>
    </row>
    <row r="105" spans="28:32">
      <c r="AB105" s="70"/>
      <c r="AF105" s="68"/>
    </row>
    <row r="106" spans="28:32">
      <c r="AB106" s="70"/>
      <c r="AF106" s="68"/>
    </row>
    <row r="107" spans="28:32">
      <c r="AB107" s="70"/>
      <c r="AF107" s="68"/>
    </row>
    <row r="108" spans="28:32">
      <c r="AB108" s="70"/>
      <c r="AF108" s="68"/>
    </row>
    <row r="109" spans="28:32">
      <c r="AB109" s="70"/>
      <c r="AF109" s="68"/>
    </row>
    <row r="110" spans="28:32">
      <c r="AB110" s="70"/>
      <c r="AF110" s="68"/>
    </row>
    <row r="111" spans="28:32">
      <c r="AB111" s="70"/>
      <c r="AF111" s="68"/>
    </row>
    <row r="112" spans="28:32">
      <c r="AB112" s="70"/>
      <c r="AF112" s="68"/>
    </row>
    <row r="113" spans="28:32">
      <c r="AB113" s="70"/>
      <c r="AF113" s="68"/>
    </row>
    <row r="114" spans="28:32">
      <c r="AB114" s="70"/>
      <c r="AF114" s="68"/>
    </row>
    <row r="115" spans="28:32">
      <c r="AB115" s="70"/>
      <c r="AF115" s="68"/>
    </row>
    <row r="116" spans="28:32">
      <c r="AB116" s="70"/>
      <c r="AF116" s="68"/>
    </row>
    <row r="117" spans="28:32">
      <c r="AB117" s="70"/>
      <c r="AF117" s="68"/>
    </row>
    <row r="118" spans="28:32">
      <c r="AB118" s="70"/>
      <c r="AF118" s="68"/>
    </row>
    <row r="119" spans="28:32">
      <c r="AB119" s="70"/>
      <c r="AF119" s="68"/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12</vt:i4>
      </vt:variant>
    </vt:vector>
  </HeadingPairs>
  <TitlesOfParts>
    <vt:vector size="20" baseType="lpstr">
      <vt:lpstr>コード表</vt:lpstr>
      <vt:lpstr>メッセージ表</vt:lpstr>
      <vt:lpstr>種目</vt:lpstr>
      <vt:lpstr>大会記録</vt:lpstr>
      <vt:lpstr>エントリー</vt:lpstr>
      <vt:lpstr>入力表</vt:lpstr>
      <vt:lpstr>ResultList</vt:lpstr>
      <vt:lpstr>ResultSubList</vt:lpstr>
      <vt:lpstr>Code_Adv_Next</vt:lpstr>
      <vt:lpstr>Code_Csv_Header</vt:lpstr>
      <vt:lpstr>Code_Event</vt:lpstr>
      <vt:lpstr>Code_Group_Strategy</vt:lpstr>
      <vt:lpstr>Code_Lane_Strategy</vt:lpstr>
      <vt:lpstr>Code_Lane_Type</vt:lpstr>
      <vt:lpstr>Code_Point_1</vt:lpstr>
      <vt:lpstr>Code_Point_2</vt:lpstr>
      <vt:lpstr>Code_Reaction</vt:lpstr>
      <vt:lpstr>Code_Result_Unit</vt:lpstr>
      <vt:lpstr>Code_Sex</vt:lpstr>
      <vt:lpstr>Code_Wind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平岡諒也</dc:creator>
  <cp:lastModifiedBy>Ryoya HIRAOKA</cp:lastModifiedBy>
  <dcterms:created xsi:type="dcterms:W3CDTF">2022-08-19T17:03:59Z</dcterms:created>
  <dcterms:modified xsi:type="dcterms:W3CDTF">2024-10-05T16:50:20Z</dcterms:modified>
</cp:coreProperties>
</file>